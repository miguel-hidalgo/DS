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hida\Documents\LAM\Forecasting\"/>
    </mc:Choice>
  </mc:AlternateContent>
  <bookViews>
    <workbookView xWindow="0" yWindow="0" windowWidth="23040" windowHeight="9075"/>
  </bookViews>
  <sheets>
    <sheet name="Equations" sheetId="4" r:id="rId1"/>
    <sheet name="Data" sheetId="1" r:id="rId2"/>
    <sheet name="Select_Data" sheetId="7" r:id="rId3"/>
    <sheet name="MA_Model" sheetId="6" r:id="rId4"/>
    <sheet name="SES_Model_Eq1" sheetId="12" r:id="rId5"/>
    <sheet name="SES_Model_Eq2" sheetId="3" r:id="rId6"/>
    <sheet name="Holt_Model" sheetId="2" r:id="rId7"/>
  </sheets>
  <definedNames>
    <definedName name="_xlchart.v1.0" hidden="1">Data!$C$4:$C$18</definedName>
    <definedName name="solver_adj" localSheetId="6" hidden="1">Holt_Model!$A$4:$B$4</definedName>
    <definedName name="solver_adj" localSheetId="3" hidden="1">MA_Model!$A$4</definedName>
    <definedName name="solver_adj" localSheetId="4" hidden="1">SES_Model_Eq1!$A$4</definedName>
    <definedName name="solver_adj" localSheetId="5" hidden="1">SES_Model_Eq2!$A$4</definedName>
    <definedName name="solver_cvg" localSheetId="6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drv" localSheetId="6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eng" localSheetId="6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st" localSheetId="6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itr" localSheetId="6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lhs1" localSheetId="6" hidden="1">Holt_Model!$A$4</definedName>
    <definedName name="solver_lhs1" localSheetId="3" hidden="1">MA_Model!$A$4</definedName>
    <definedName name="solver_lhs1" localSheetId="4" hidden="1">SES_Model_Eq1!$A$4</definedName>
    <definedName name="solver_lhs1" localSheetId="5" hidden="1">SES_Model_Eq2!$A$4</definedName>
    <definedName name="solver_lhs2" localSheetId="6" hidden="1">Holt_Model!$A$4</definedName>
    <definedName name="solver_lhs2" localSheetId="3" hidden="1">MA_Model!$A$4</definedName>
    <definedName name="solver_lhs2" localSheetId="4" hidden="1">SES_Model_Eq1!$A$4</definedName>
    <definedName name="solver_lhs2" localSheetId="5" hidden="1">SES_Model_Eq2!$A$4</definedName>
    <definedName name="solver_lhs3" localSheetId="6" hidden="1">Holt_Model!$B$4</definedName>
    <definedName name="solver_lhs3" localSheetId="3" hidden="1">MA_Model!#REF!</definedName>
    <definedName name="solver_lhs3" localSheetId="4" hidden="1">SES_Model_Eq1!#REF!</definedName>
    <definedName name="solver_lhs3" localSheetId="5" hidden="1">SES_Model_Eq2!#REF!</definedName>
    <definedName name="solver_lhs4" localSheetId="6" hidden="1">Holt_Model!$B$4</definedName>
    <definedName name="solver_lhs4" localSheetId="3" hidden="1">MA_Model!#REF!</definedName>
    <definedName name="solver_lhs4" localSheetId="4" hidden="1">SES_Model_Eq1!#REF!</definedName>
    <definedName name="solver_lhs4" localSheetId="5" hidden="1">SES_Model_Eq2!#REF!</definedName>
    <definedName name="solver_mip" localSheetId="6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ni" localSheetId="6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rt" localSheetId="6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sl" localSheetId="6" hidden="1">1</definedName>
    <definedName name="solver_msl" localSheetId="3" hidden="1">1</definedName>
    <definedName name="solver_msl" localSheetId="4" hidden="1">1</definedName>
    <definedName name="solver_msl" localSheetId="5" hidden="1">1</definedName>
    <definedName name="solver_neg" localSheetId="6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od" localSheetId="6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um" localSheetId="6" hidden="1">4</definedName>
    <definedName name="solver_num" localSheetId="3" hidden="1">2</definedName>
    <definedName name="solver_num" localSheetId="4" hidden="1">2</definedName>
    <definedName name="solver_num" localSheetId="5" hidden="1">2</definedName>
    <definedName name="solver_nwt" localSheetId="6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opt" localSheetId="6" hidden="1">Holt_Model!$E$4</definedName>
    <definedName name="solver_opt" localSheetId="3" hidden="1">MA_Model!$D$4</definedName>
    <definedName name="solver_opt" localSheetId="4" hidden="1">SES_Model_Eq1!$C$4</definedName>
    <definedName name="solver_opt" localSheetId="5" hidden="1">SES_Model_Eq2!$C$4</definedName>
    <definedName name="solver_pre" localSheetId="6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rbv" localSheetId="6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el1" localSheetId="6" hidden="1">1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2" localSheetId="6" hidden="1">3</definedName>
    <definedName name="solver_rel2" localSheetId="3" hidden="1">3</definedName>
    <definedName name="solver_rel2" localSheetId="4" hidden="1">3</definedName>
    <definedName name="solver_rel2" localSheetId="5" hidden="1">3</definedName>
    <definedName name="solver_rel3" localSheetId="6" hidden="1">1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4" localSheetId="6" hidden="1">3</definedName>
    <definedName name="solver_rel4" localSheetId="3" hidden="1">3</definedName>
    <definedName name="solver_rel4" localSheetId="4" hidden="1">3</definedName>
    <definedName name="solver_rel4" localSheetId="5" hidden="1">3</definedName>
    <definedName name="solver_rhs1" localSheetId="6" hidden="1">1</definedName>
    <definedName name="solver_rhs1" localSheetId="3" hidden="1">1</definedName>
    <definedName name="solver_rhs1" localSheetId="4" hidden="1">1</definedName>
    <definedName name="solver_rhs1" localSheetId="5" hidden="1">1</definedName>
    <definedName name="solver_rhs2" localSheetId="6" hidden="1">0</definedName>
    <definedName name="solver_rhs2" localSheetId="3" hidden="1">0</definedName>
    <definedName name="solver_rhs2" localSheetId="4" hidden="1">0</definedName>
    <definedName name="solver_rhs2" localSheetId="5" hidden="1">0</definedName>
    <definedName name="solver_rhs3" localSheetId="6" hidden="1">1</definedName>
    <definedName name="solver_rhs3" localSheetId="3" hidden="1">0</definedName>
    <definedName name="solver_rhs3" localSheetId="4" hidden="1">0</definedName>
    <definedName name="solver_rhs3" localSheetId="5" hidden="1">0</definedName>
    <definedName name="solver_rhs4" localSheetId="6" hidden="1">0</definedName>
    <definedName name="solver_rhs4" localSheetId="3" hidden="1">0</definedName>
    <definedName name="solver_rhs4" localSheetId="4" hidden="1">0</definedName>
    <definedName name="solver_rhs4" localSheetId="5" hidden="1">0</definedName>
    <definedName name="solver_rlx" localSheetId="6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sd" localSheetId="6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scl" localSheetId="6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ho" localSheetId="6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sz" localSheetId="6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tim" localSheetId="6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ol" localSheetId="6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yp" localSheetId="6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val" localSheetId="6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er" localSheetId="6" hidden="1">3</definedName>
    <definedName name="solver_ver" localSheetId="3" hidden="1">3</definedName>
    <definedName name="solver_ver" localSheetId="4" hidden="1">3</definedName>
    <definedName name="solver_ver" localSheetId="5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9" i="12" l="1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B5" i="12"/>
  <c r="B2" i="12"/>
  <c r="B2" i="2" l="1"/>
  <c r="B2" i="3" l="1"/>
  <c r="B2" i="6"/>
  <c r="A2" i="7"/>
  <c r="C2" i="1" l="1"/>
  <c r="A2" i="12" s="1"/>
  <c r="B65" i="7"/>
  <c r="B61" i="7"/>
  <c r="B57" i="7"/>
  <c r="B53" i="7"/>
  <c r="B49" i="7"/>
  <c r="B45" i="7"/>
  <c r="B41" i="7"/>
  <c r="B37" i="7"/>
  <c r="B33" i="7"/>
  <c r="B29" i="7"/>
  <c r="B25" i="7"/>
  <c r="B21" i="7"/>
  <c r="B17" i="7"/>
  <c r="B13" i="7"/>
  <c r="B9" i="7"/>
  <c r="B5" i="7"/>
  <c r="B58" i="7"/>
  <c r="B50" i="7"/>
  <c r="B38" i="7"/>
  <c r="B30" i="7"/>
  <c r="B22" i="7"/>
  <c r="B10" i="7"/>
  <c r="B64" i="7"/>
  <c r="B60" i="7"/>
  <c r="B56" i="7"/>
  <c r="B52" i="7"/>
  <c r="B48" i="7"/>
  <c r="B44" i="7"/>
  <c r="B40" i="7"/>
  <c r="B36" i="7"/>
  <c r="B32" i="7"/>
  <c r="B28" i="7"/>
  <c r="B24" i="7"/>
  <c r="B20" i="7"/>
  <c r="B16" i="7"/>
  <c r="B12" i="7"/>
  <c r="B8" i="7"/>
  <c r="B4" i="7"/>
  <c r="B62" i="7"/>
  <c r="B54" i="7"/>
  <c r="B46" i="7"/>
  <c r="B42" i="7"/>
  <c r="B34" i="7"/>
  <c r="B26" i="7"/>
  <c r="B18" i="7"/>
  <c r="B14" i="7"/>
  <c r="B6" i="7"/>
  <c r="B63" i="7"/>
  <c r="B59" i="7"/>
  <c r="B55" i="7"/>
  <c r="B51" i="7"/>
  <c r="B47" i="7"/>
  <c r="B43" i="7"/>
  <c r="B39" i="7"/>
  <c r="B35" i="7"/>
  <c r="B31" i="7"/>
  <c r="B27" i="7"/>
  <c r="B23" i="7"/>
  <c r="B19" i="7"/>
  <c r="B15" i="7"/>
  <c r="B11" i="7"/>
  <c r="B7" i="7"/>
  <c r="B3" i="7"/>
  <c r="A2" i="3"/>
  <c r="A2" i="2"/>
  <c r="A2" i="6"/>
  <c r="G60" i="6"/>
  <c r="A59" i="6" l="1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B5" i="6"/>
  <c r="A5" i="6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4" i="1"/>
  <c r="C4" i="1" s="1"/>
  <c r="B6" i="12" s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4" i="1"/>
  <c r="Q3" i="1"/>
  <c r="A17" i="1" s="1"/>
  <c r="P3" i="1"/>
  <c r="A16" i="1" s="1"/>
  <c r="O3" i="1"/>
  <c r="A15" i="1" s="1"/>
  <c r="N3" i="1"/>
  <c r="A14" i="1" s="1"/>
  <c r="M3" i="1"/>
  <c r="A13" i="1" s="1"/>
  <c r="L3" i="1"/>
  <c r="A12" i="1" s="1"/>
  <c r="K3" i="1"/>
  <c r="A11" i="1" s="1"/>
  <c r="J3" i="1"/>
  <c r="A10" i="1" s="1"/>
  <c r="I3" i="1"/>
  <c r="A9" i="1" s="1"/>
  <c r="H3" i="1"/>
  <c r="A8" i="1" s="1"/>
  <c r="G3" i="1"/>
  <c r="A7" i="1" s="1"/>
  <c r="F3" i="1"/>
  <c r="A6" i="1" s="1"/>
  <c r="E3" i="1"/>
  <c r="A5" i="1" s="1"/>
  <c r="D3" i="1"/>
  <c r="A4" i="1" s="1"/>
  <c r="C5" i="1"/>
  <c r="B7" i="12" s="1"/>
  <c r="C6" i="1"/>
  <c r="B8" i="12" s="1"/>
  <c r="C7" i="1"/>
  <c r="B9" i="12" s="1"/>
  <c r="C8" i="1"/>
  <c r="B10" i="12" s="1"/>
  <c r="C9" i="1"/>
  <c r="B11" i="12" s="1"/>
  <c r="C10" i="1"/>
  <c r="B12" i="12" s="1"/>
  <c r="C11" i="1"/>
  <c r="B13" i="12" s="1"/>
  <c r="C12" i="1"/>
  <c r="B14" i="12" s="1"/>
  <c r="C13" i="1"/>
  <c r="B15" i="12" s="1"/>
  <c r="C14" i="1"/>
  <c r="B16" i="12" s="1"/>
  <c r="C15" i="1"/>
  <c r="B17" i="12" s="1"/>
  <c r="C16" i="1"/>
  <c r="B18" i="12" s="1"/>
  <c r="C17" i="1"/>
  <c r="B19" i="12" s="1"/>
  <c r="C18" i="1"/>
  <c r="B20" i="12" s="1"/>
  <c r="C19" i="1"/>
  <c r="B21" i="12" s="1"/>
  <c r="C20" i="1"/>
  <c r="B22" i="12" s="1"/>
  <c r="C21" i="1"/>
  <c r="B23" i="12" s="1"/>
  <c r="C22" i="1"/>
  <c r="B24" i="12" s="1"/>
  <c r="C23" i="1"/>
  <c r="B25" i="12" s="1"/>
  <c r="C24" i="1"/>
  <c r="B26" i="12" s="1"/>
  <c r="C25" i="1"/>
  <c r="B27" i="12" s="1"/>
  <c r="C26" i="1"/>
  <c r="B28" i="12" s="1"/>
  <c r="C27" i="1"/>
  <c r="B29" i="12" s="1"/>
  <c r="C28" i="1"/>
  <c r="B30" i="12" s="1"/>
  <c r="C29" i="1"/>
  <c r="B31" i="12" s="1"/>
  <c r="C30" i="1"/>
  <c r="B32" i="12" s="1"/>
  <c r="C31" i="1"/>
  <c r="B33" i="12" s="1"/>
  <c r="C32" i="1"/>
  <c r="B34" i="12" s="1"/>
  <c r="C33" i="1"/>
  <c r="B35" i="12" s="1"/>
  <c r="C34" i="1"/>
  <c r="B36" i="12" s="1"/>
  <c r="C35" i="1"/>
  <c r="B37" i="12" s="1"/>
  <c r="C36" i="1"/>
  <c r="B38" i="12" s="1"/>
  <c r="C37" i="1"/>
  <c r="B39" i="12" s="1"/>
  <c r="C38" i="1"/>
  <c r="B40" i="12" s="1"/>
  <c r="C39" i="1"/>
  <c r="B41" i="12" s="1"/>
  <c r="C40" i="1"/>
  <c r="B42" i="12" s="1"/>
  <c r="C41" i="1"/>
  <c r="B43" i="12" s="1"/>
  <c r="C42" i="1"/>
  <c r="B44" i="12" s="1"/>
  <c r="C43" i="1"/>
  <c r="B45" i="12" s="1"/>
  <c r="C44" i="1"/>
  <c r="B46" i="12" s="1"/>
  <c r="C45" i="1"/>
  <c r="B47" i="12" s="1"/>
  <c r="C46" i="1"/>
  <c r="B48" i="12" s="1"/>
  <c r="C47" i="1"/>
  <c r="B49" i="12" s="1"/>
  <c r="C48" i="1"/>
  <c r="B50" i="12" s="1"/>
  <c r="C49" i="1"/>
  <c r="B51" i="12" s="1"/>
  <c r="C50" i="1"/>
  <c r="B52" i="12" s="1"/>
  <c r="C51" i="1"/>
  <c r="B53" i="12" s="1"/>
  <c r="C52" i="1"/>
  <c r="B54" i="12" s="1"/>
  <c r="C53" i="1"/>
  <c r="B55" i="12" s="1"/>
  <c r="C54" i="1"/>
  <c r="B56" i="12" s="1"/>
  <c r="C55" i="1"/>
  <c r="B57" i="12" s="1"/>
  <c r="C56" i="1"/>
  <c r="B58" i="12" s="1"/>
  <c r="C57" i="1"/>
  <c r="B59" i="12" s="1"/>
  <c r="C58" i="1"/>
  <c r="B60" i="12" s="1"/>
  <c r="D60" i="12" s="1"/>
  <c r="E56" i="12" l="1"/>
  <c r="D56" i="12"/>
  <c r="C57" i="12"/>
  <c r="E52" i="12"/>
  <c r="C53" i="12"/>
  <c r="D52" i="12"/>
  <c r="E48" i="12"/>
  <c r="D48" i="12"/>
  <c r="C49" i="12"/>
  <c r="E44" i="12"/>
  <c r="C45" i="12"/>
  <c r="D44" i="12"/>
  <c r="E40" i="12"/>
  <c r="D40" i="12"/>
  <c r="C41" i="12"/>
  <c r="E36" i="12"/>
  <c r="C37" i="12"/>
  <c r="D36" i="12"/>
  <c r="C56" i="12"/>
  <c r="E55" i="12"/>
  <c r="D55" i="12"/>
  <c r="C52" i="12"/>
  <c r="E51" i="12"/>
  <c r="D51" i="12"/>
  <c r="C44" i="12"/>
  <c r="E43" i="12"/>
  <c r="D43" i="12"/>
  <c r="C36" i="12"/>
  <c r="E35" i="12"/>
  <c r="D35" i="12"/>
  <c r="E58" i="12"/>
  <c r="D58" i="12"/>
  <c r="C59" i="12"/>
  <c r="E54" i="12"/>
  <c r="D54" i="12"/>
  <c r="C55" i="12"/>
  <c r="E50" i="12"/>
  <c r="D50" i="12"/>
  <c r="C51" i="12"/>
  <c r="E46" i="12"/>
  <c r="D46" i="12"/>
  <c r="C47" i="12"/>
  <c r="E42" i="12"/>
  <c r="D42" i="12"/>
  <c r="C43" i="12"/>
  <c r="E38" i="12"/>
  <c r="D38" i="12"/>
  <c r="C39" i="12"/>
  <c r="D59" i="12"/>
  <c r="E59" i="12"/>
  <c r="C60" i="12"/>
  <c r="C48" i="12"/>
  <c r="E47" i="12"/>
  <c r="D47" i="12"/>
  <c r="C40" i="12"/>
  <c r="E39" i="12"/>
  <c r="D39" i="12"/>
  <c r="O4" i="12"/>
  <c r="E57" i="12"/>
  <c r="C58" i="12"/>
  <c r="D57" i="12"/>
  <c r="E53" i="12"/>
  <c r="C54" i="12"/>
  <c r="D53" i="12"/>
  <c r="E49" i="12"/>
  <c r="C50" i="12"/>
  <c r="D49" i="12"/>
  <c r="E45" i="12"/>
  <c r="C46" i="12"/>
  <c r="D45" i="12"/>
  <c r="E41" i="12"/>
  <c r="C42" i="12"/>
  <c r="D41" i="12"/>
  <c r="C38" i="12"/>
  <c r="E37" i="12"/>
  <c r="D37" i="12"/>
  <c r="C6" i="12"/>
  <c r="C7" i="12" s="1"/>
  <c r="C8" i="12" s="1"/>
  <c r="M4" i="12"/>
  <c r="J1" i="12"/>
  <c r="B6" i="3"/>
  <c r="C7" i="3" s="1"/>
  <c r="B6" i="6"/>
  <c r="B2" i="1"/>
  <c r="B59" i="2"/>
  <c r="B59" i="6"/>
  <c r="B58" i="3"/>
  <c r="C59" i="3" s="1"/>
  <c r="B58" i="6"/>
  <c r="B54" i="3"/>
  <c r="C55" i="3" s="1"/>
  <c r="B54" i="6"/>
  <c r="B50" i="3"/>
  <c r="C51" i="3" s="1"/>
  <c r="B50" i="6"/>
  <c r="B46" i="3"/>
  <c r="C47" i="3" s="1"/>
  <c r="B46" i="6"/>
  <c r="B42" i="3"/>
  <c r="C43" i="3" s="1"/>
  <c r="B42" i="6"/>
  <c r="B38" i="3"/>
  <c r="C39" i="3" s="1"/>
  <c r="B38" i="6"/>
  <c r="B34" i="3"/>
  <c r="B34" i="6"/>
  <c r="B30" i="3"/>
  <c r="B30" i="6"/>
  <c r="B26" i="3"/>
  <c r="B26" i="6"/>
  <c r="B22" i="3"/>
  <c r="B22" i="6"/>
  <c r="B18" i="3"/>
  <c r="B18" i="6"/>
  <c r="B53" i="3"/>
  <c r="C54" i="3" s="1"/>
  <c r="B53" i="6"/>
  <c r="B49" i="3"/>
  <c r="C50" i="3" s="1"/>
  <c r="B49" i="6"/>
  <c r="B45" i="3"/>
  <c r="C46" i="3" s="1"/>
  <c r="B45" i="6"/>
  <c r="B41" i="3"/>
  <c r="C42" i="3" s="1"/>
  <c r="B41" i="6"/>
  <c r="B37" i="3"/>
  <c r="C38" i="3" s="1"/>
  <c r="B37" i="6"/>
  <c r="B33" i="3"/>
  <c r="B33" i="6"/>
  <c r="B29" i="3"/>
  <c r="B29" i="6"/>
  <c r="B25" i="3"/>
  <c r="B25" i="6"/>
  <c r="B21" i="3"/>
  <c r="B21" i="6"/>
  <c r="B60" i="6"/>
  <c r="B56" i="6"/>
  <c r="B52" i="6"/>
  <c r="B48" i="6"/>
  <c r="B44" i="6"/>
  <c r="B40" i="6"/>
  <c r="B36" i="6"/>
  <c r="B32" i="6"/>
  <c r="B28" i="6"/>
  <c r="B24" i="6"/>
  <c r="B20" i="6"/>
  <c r="B57" i="3"/>
  <c r="C58" i="3" s="1"/>
  <c r="B57" i="6"/>
  <c r="B55" i="2"/>
  <c r="B55" i="6"/>
  <c r="B51" i="2"/>
  <c r="B51" i="6"/>
  <c r="B47" i="2"/>
  <c r="B47" i="6"/>
  <c r="B43" i="2"/>
  <c r="B43" i="6"/>
  <c r="B39" i="2"/>
  <c r="B39" i="6"/>
  <c r="B35" i="2"/>
  <c r="B35" i="6"/>
  <c r="B31" i="2"/>
  <c r="E31" i="2" s="1"/>
  <c r="B31" i="6"/>
  <c r="B27" i="2"/>
  <c r="B27" i="6"/>
  <c r="B23" i="2"/>
  <c r="B23" i="6"/>
  <c r="B19" i="2"/>
  <c r="B19" i="6"/>
  <c r="B17" i="3"/>
  <c r="B17" i="6"/>
  <c r="B16" i="6"/>
  <c r="B12" i="6"/>
  <c r="B8" i="6"/>
  <c r="B14" i="3"/>
  <c r="B14" i="6"/>
  <c r="B13" i="3"/>
  <c r="B13" i="6"/>
  <c r="B9" i="3"/>
  <c r="B9" i="6"/>
  <c r="B15" i="2"/>
  <c r="B15" i="6"/>
  <c r="B11" i="2"/>
  <c r="B11" i="6"/>
  <c r="B7" i="2"/>
  <c r="B7" i="6"/>
  <c r="B10" i="3"/>
  <c r="B10" i="6"/>
  <c r="B23" i="3"/>
  <c r="B55" i="3"/>
  <c r="C56" i="3" s="1"/>
  <c r="B32" i="2"/>
  <c r="E32" i="2" s="1"/>
  <c r="B27" i="3"/>
  <c r="B59" i="3"/>
  <c r="C60" i="3" s="1"/>
  <c r="B36" i="2"/>
  <c r="B7" i="3"/>
  <c r="B39" i="3"/>
  <c r="C40" i="3" s="1"/>
  <c r="B16" i="2"/>
  <c r="B48" i="2"/>
  <c r="B11" i="3"/>
  <c r="B43" i="3"/>
  <c r="C44" i="3" s="1"/>
  <c r="B20" i="2"/>
  <c r="B52" i="2"/>
  <c r="B15" i="3"/>
  <c r="B31" i="3"/>
  <c r="B47" i="3"/>
  <c r="C48" i="3" s="1"/>
  <c r="B8" i="2"/>
  <c r="B24" i="2"/>
  <c r="B40" i="2"/>
  <c r="B56" i="2"/>
  <c r="B19" i="3"/>
  <c r="B35" i="3"/>
  <c r="C36" i="3" s="1"/>
  <c r="B51" i="3"/>
  <c r="C52" i="3" s="1"/>
  <c r="B12" i="2"/>
  <c r="B28" i="2"/>
  <c r="B44" i="2"/>
  <c r="B60" i="2"/>
  <c r="E60" i="2" s="1"/>
  <c r="B8" i="3"/>
  <c r="B12" i="3"/>
  <c r="B16" i="3"/>
  <c r="B20" i="3"/>
  <c r="B24" i="3"/>
  <c r="B28" i="3"/>
  <c r="B32" i="3"/>
  <c r="B36" i="3"/>
  <c r="C37" i="3" s="1"/>
  <c r="B40" i="3"/>
  <c r="C41" i="3" s="1"/>
  <c r="B44" i="3"/>
  <c r="C45" i="3" s="1"/>
  <c r="B48" i="3"/>
  <c r="C49" i="3" s="1"/>
  <c r="B52" i="3"/>
  <c r="C53" i="3" s="1"/>
  <c r="B56" i="3"/>
  <c r="C57" i="3" s="1"/>
  <c r="B60" i="3"/>
  <c r="D60" i="3" s="1"/>
  <c r="B9" i="2"/>
  <c r="B13" i="2"/>
  <c r="B17" i="2"/>
  <c r="B21" i="2"/>
  <c r="B25" i="2"/>
  <c r="B29" i="2"/>
  <c r="B33" i="2"/>
  <c r="E33" i="2" s="1"/>
  <c r="B37" i="2"/>
  <c r="B41" i="2"/>
  <c r="B45" i="2"/>
  <c r="B49" i="2"/>
  <c r="B53" i="2"/>
  <c r="B57" i="2"/>
  <c r="B6" i="2"/>
  <c r="B10" i="2"/>
  <c r="B14" i="2"/>
  <c r="B18" i="2"/>
  <c r="B22" i="2"/>
  <c r="B26" i="2"/>
  <c r="B30" i="2"/>
  <c r="E30" i="2" s="1"/>
  <c r="B34" i="2"/>
  <c r="E34" i="2" s="1"/>
  <c r="B38" i="2"/>
  <c r="B42" i="2"/>
  <c r="B46" i="2"/>
  <c r="B50" i="2"/>
  <c r="B54" i="2"/>
  <c r="B58" i="2"/>
  <c r="K4" i="6"/>
  <c r="J4" i="6"/>
  <c r="C43" i="2" l="1"/>
  <c r="E42" i="2"/>
  <c r="C50" i="2"/>
  <c r="E49" i="2"/>
  <c r="C57" i="2"/>
  <c r="E56" i="2"/>
  <c r="C55" i="2"/>
  <c r="E54" i="2"/>
  <c r="L4" i="2"/>
  <c r="C41" i="2"/>
  <c r="E40" i="2"/>
  <c r="E35" i="2"/>
  <c r="C36" i="2"/>
  <c r="E43" i="2"/>
  <c r="C44" i="2"/>
  <c r="E51" i="2"/>
  <c r="C52" i="2"/>
  <c r="C51" i="2"/>
  <c r="E50" i="2"/>
  <c r="E57" i="2"/>
  <c r="C58" i="2"/>
  <c r="C59" i="2"/>
  <c r="E58" i="2"/>
  <c r="C39" i="2"/>
  <c r="E38" i="2"/>
  <c r="E45" i="2"/>
  <c r="C46" i="2"/>
  <c r="E41" i="2"/>
  <c r="C42" i="2"/>
  <c r="C45" i="2"/>
  <c r="E44" i="2"/>
  <c r="E59" i="2"/>
  <c r="C60" i="2"/>
  <c r="C47" i="2"/>
  <c r="E46" i="2"/>
  <c r="E53" i="2"/>
  <c r="C54" i="2"/>
  <c r="C38" i="2"/>
  <c r="E37" i="2"/>
  <c r="C53" i="2"/>
  <c r="E52" i="2"/>
  <c r="C49" i="2"/>
  <c r="E48" i="2"/>
  <c r="C37" i="2"/>
  <c r="E36" i="2"/>
  <c r="E39" i="2"/>
  <c r="C40" i="2"/>
  <c r="E47" i="2"/>
  <c r="C48" i="2"/>
  <c r="E55" i="2"/>
  <c r="C56" i="2"/>
  <c r="C7" i="2"/>
  <c r="D7" i="2"/>
  <c r="D7" i="12"/>
  <c r="E7" i="12" s="1"/>
  <c r="D8" i="12"/>
  <c r="E8" i="12" s="1"/>
  <c r="C9" i="12"/>
  <c r="C8" i="3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D59" i="3"/>
  <c r="D41" i="3"/>
  <c r="D34" i="3"/>
  <c r="D58" i="3"/>
  <c r="D52" i="3"/>
  <c r="D36" i="3"/>
  <c r="D51" i="3"/>
  <c r="D43" i="3"/>
  <c r="D39" i="3"/>
  <c r="D57" i="3"/>
  <c r="M4" i="3"/>
  <c r="D40" i="3"/>
  <c r="D47" i="3"/>
  <c r="D42" i="3"/>
  <c r="D48" i="3"/>
  <c r="D35" i="3"/>
  <c r="O4" i="3"/>
  <c r="D37" i="3"/>
  <c r="D45" i="3"/>
  <c r="D53" i="3"/>
  <c r="D30" i="3"/>
  <c r="E30" i="3" s="1"/>
  <c r="D38" i="3"/>
  <c r="D46" i="3"/>
  <c r="D54" i="3"/>
  <c r="D56" i="3"/>
  <c r="D49" i="3"/>
  <c r="D50" i="3"/>
  <c r="D44" i="3"/>
  <c r="D55" i="3"/>
  <c r="E52" i="3"/>
  <c r="E51" i="3"/>
  <c r="E39" i="3"/>
  <c r="E57" i="3"/>
  <c r="E48" i="3"/>
  <c r="E35" i="3"/>
  <c r="E45" i="3"/>
  <c r="E38" i="3"/>
  <c r="E44" i="3"/>
  <c r="E55" i="3"/>
  <c r="E36" i="3"/>
  <c r="E43" i="3"/>
  <c r="E37" i="3"/>
  <c r="E53" i="3"/>
  <c r="E46" i="3"/>
  <c r="E54" i="3"/>
  <c r="E56" i="3"/>
  <c r="E40" i="3"/>
  <c r="E47" i="3"/>
  <c r="E59" i="3"/>
  <c r="E41" i="3"/>
  <c r="E49" i="3"/>
  <c r="E34" i="3"/>
  <c r="E42" i="3"/>
  <c r="E50" i="3"/>
  <c r="E58" i="3"/>
  <c r="M4" i="6"/>
  <c r="C7" i="6"/>
  <c r="C13" i="6"/>
  <c r="E13" i="6" s="1"/>
  <c r="G13" i="6" s="1"/>
  <c r="D13" i="6"/>
  <c r="F13" i="6" s="1"/>
  <c r="H13" i="6" s="1"/>
  <c r="D19" i="6"/>
  <c r="F19" i="6" s="1"/>
  <c r="H19" i="6" s="1"/>
  <c r="C19" i="6"/>
  <c r="E19" i="6" s="1"/>
  <c r="G19" i="6" s="1"/>
  <c r="D35" i="6"/>
  <c r="F35" i="6" s="1"/>
  <c r="H35" i="6" s="1"/>
  <c r="C35" i="6"/>
  <c r="E35" i="6" s="1"/>
  <c r="G35" i="6" s="1"/>
  <c r="D43" i="6"/>
  <c r="F43" i="6" s="1"/>
  <c r="H43" i="6" s="1"/>
  <c r="C43" i="6"/>
  <c r="E43" i="6" s="1"/>
  <c r="G43" i="6" s="1"/>
  <c r="D24" i="6"/>
  <c r="F24" i="6" s="1"/>
  <c r="H24" i="6" s="1"/>
  <c r="C24" i="6"/>
  <c r="E24" i="6" s="1"/>
  <c r="G24" i="6" s="1"/>
  <c r="D40" i="6"/>
  <c r="F40" i="6" s="1"/>
  <c r="H40" i="6" s="1"/>
  <c r="C40" i="6"/>
  <c r="E40" i="6" s="1"/>
  <c r="G40" i="6" s="1"/>
  <c r="D56" i="6"/>
  <c r="F56" i="6" s="1"/>
  <c r="H56" i="6" s="1"/>
  <c r="C56" i="6"/>
  <c r="E56" i="6" s="1"/>
  <c r="G56" i="6" s="1"/>
  <c r="C21" i="6"/>
  <c r="E21" i="6" s="1"/>
  <c r="G21" i="6" s="1"/>
  <c r="D21" i="6"/>
  <c r="F21" i="6" s="1"/>
  <c r="H21" i="6" s="1"/>
  <c r="C29" i="6"/>
  <c r="E29" i="6" s="1"/>
  <c r="G29" i="6" s="1"/>
  <c r="D29" i="6"/>
  <c r="F29" i="6" s="1"/>
  <c r="H29" i="6" s="1"/>
  <c r="C37" i="6"/>
  <c r="E37" i="6" s="1"/>
  <c r="G37" i="6" s="1"/>
  <c r="D37" i="6"/>
  <c r="F37" i="6" s="1"/>
  <c r="H37" i="6" s="1"/>
  <c r="C45" i="6"/>
  <c r="E45" i="6" s="1"/>
  <c r="G45" i="6" s="1"/>
  <c r="D45" i="6"/>
  <c r="F45" i="6" s="1"/>
  <c r="H45" i="6" s="1"/>
  <c r="C53" i="6"/>
  <c r="E53" i="6" s="1"/>
  <c r="G53" i="6" s="1"/>
  <c r="D53" i="6"/>
  <c r="F53" i="6" s="1"/>
  <c r="H53" i="6" s="1"/>
  <c r="D22" i="6"/>
  <c r="F22" i="6" s="1"/>
  <c r="H22" i="6" s="1"/>
  <c r="C22" i="6"/>
  <c r="E22" i="6" s="1"/>
  <c r="G22" i="6" s="1"/>
  <c r="D30" i="6"/>
  <c r="F30" i="6" s="1"/>
  <c r="H30" i="6" s="1"/>
  <c r="C30" i="6"/>
  <c r="E30" i="6" s="1"/>
  <c r="G30" i="6" s="1"/>
  <c r="C38" i="6"/>
  <c r="E38" i="6" s="1"/>
  <c r="G38" i="6" s="1"/>
  <c r="D38" i="6"/>
  <c r="F38" i="6" s="1"/>
  <c r="H38" i="6" s="1"/>
  <c r="C46" i="6"/>
  <c r="E46" i="6" s="1"/>
  <c r="G46" i="6" s="1"/>
  <c r="D46" i="6"/>
  <c r="F46" i="6" s="1"/>
  <c r="H46" i="6" s="1"/>
  <c r="C54" i="6"/>
  <c r="E54" i="6" s="1"/>
  <c r="G54" i="6" s="1"/>
  <c r="D54" i="6"/>
  <c r="F54" i="6" s="1"/>
  <c r="H54" i="6" s="1"/>
  <c r="D59" i="6"/>
  <c r="F59" i="6" s="1"/>
  <c r="H59" i="6" s="1"/>
  <c r="C59" i="6"/>
  <c r="E59" i="6" s="1"/>
  <c r="G59" i="6" s="1"/>
  <c r="D8" i="6"/>
  <c r="C8" i="6"/>
  <c r="E8" i="6" s="1"/>
  <c r="G8" i="6" s="1"/>
  <c r="C57" i="6"/>
  <c r="E57" i="6" s="1"/>
  <c r="G57" i="6" s="1"/>
  <c r="D57" i="6"/>
  <c r="F57" i="6" s="1"/>
  <c r="H57" i="6" s="1"/>
  <c r="D10" i="6"/>
  <c r="F10" i="6" s="1"/>
  <c r="H10" i="6" s="1"/>
  <c r="C10" i="6"/>
  <c r="E10" i="6" s="1"/>
  <c r="G10" i="6" s="1"/>
  <c r="D14" i="6"/>
  <c r="F14" i="6" s="1"/>
  <c r="H14" i="6" s="1"/>
  <c r="C14" i="6"/>
  <c r="E14" i="6" s="1"/>
  <c r="G14" i="6" s="1"/>
  <c r="D23" i="6"/>
  <c r="F23" i="6" s="1"/>
  <c r="H23" i="6" s="1"/>
  <c r="C23" i="6"/>
  <c r="E23" i="6" s="1"/>
  <c r="G23" i="6" s="1"/>
  <c r="D39" i="6"/>
  <c r="F39" i="6" s="1"/>
  <c r="H39" i="6" s="1"/>
  <c r="C39" i="6"/>
  <c r="E39" i="6" s="1"/>
  <c r="G39" i="6" s="1"/>
  <c r="D55" i="6"/>
  <c r="F55" i="6" s="1"/>
  <c r="H55" i="6" s="1"/>
  <c r="C55" i="6"/>
  <c r="E55" i="6" s="1"/>
  <c r="G55" i="6" s="1"/>
  <c r="D28" i="6"/>
  <c r="F28" i="6" s="1"/>
  <c r="H28" i="6" s="1"/>
  <c r="C28" i="6"/>
  <c r="E28" i="6" s="1"/>
  <c r="G28" i="6" s="1"/>
  <c r="D44" i="6"/>
  <c r="F44" i="6" s="1"/>
  <c r="H44" i="6" s="1"/>
  <c r="C44" i="6"/>
  <c r="E44" i="6" s="1"/>
  <c r="G44" i="6" s="1"/>
  <c r="H60" i="6"/>
  <c r="D60" i="6"/>
  <c r="C60" i="6"/>
  <c r="C25" i="6"/>
  <c r="E25" i="6" s="1"/>
  <c r="G25" i="6" s="1"/>
  <c r="D25" i="6"/>
  <c r="F25" i="6" s="1"/>
  <c r="H25" i="6" s="1"/>
  <c r="C33" i="6"/>
  <c r="E33" i="6" s="1"/>
  <c r="G33" i="6" s="1"/>
  <c r="D33" i="6"/>
  <c r="F33" i="6" s="1"/>
  <c r="H33" i="6" s="1"/>
  <c r="C49" i="6"/>
  <c r="E49" i="6" s="1"/>
  <c r="G49" i="6" s="1"/>
  <c r="D49" i="6"/>
  <c r="F49" i="6" s="1"/>
  <c r="H49" i="6" s="1"/>
  <c r="D18" i="6"/>
  <c r="F18" i="6" s="1"/>
  <c r="H18" i="6" s="1"/>
  <c r="C18" i="6"/>
  <c r="E18" i="6" s="1"/>
  <c r="G18" i="6" s="1"/>
  <c r="D26" i="6"/>
  <c r="F26" i="6" s="1"/>
  <c r="H26" i="6" s="1"/>
  <c r="C26" i="6"/>
  <c r="E26" i="6" s="1"/>
  <c r="G26" i="6" s="1"/>
  <c r="D34" i="6"/>
  <c r="F34" i="6" s="1"/>
  <c r="H34" i="6" s="1"/>
  <c r="C34" i="6"/>
  <c r="E34" i="6" s="1"/>
  <c r="G34" i="6" s="1"/>
  <c r="C42" i="6"/>
  <c r="E42" i="6" s="1"/>
  <c r="G42" i="6" s="1"/>
  <c r="D42" i="6"/>
  <c r="F42" i="6" s="1"/>
  <c r="H42" i="6" s="1"/>
  <c r="C50" i="6"/>
  <c r="E50" i="6" s="1"/>
  <c r="G50" i="6" s="1"/>
  <c r="D50" i="6"/>
  <c r="F50" i="6" s="1"/>
  <c r="H50" i="6" s="1"/>
  <c r="C58" i="6"/>
  <c r="E58" i="6" s="1"/>
  <c r="G58" i="6" s="1"/>
  <c r="D58" i="6"/>
  <c r="F58" i="6" s="1"/>
  <c r="H58" i="6" s="1"/>
  <c r="D15" i="6"/>
  <c r="F15" i="6" s="1"/>
  <c r="H15" i="6" s="1"/>
  <c r="C15" i="6"/>
  <c r="E15" i="6" s="1"/>
  <c r="G15" i="6" s="1"/>
  <c r="D16" i="6"/>
  <c r="F16" i="6" s="1"/>
  <c r="H16" i="6" s="1"/>
  <c r="C16" i="6"/>
  <c r="E16" i="6" s="1"/>
  <c r="G16" i="6" s="1"/>
  <c r="D27" i="6"/>
  <c r="F27" i="6" s="1"/>
  <c r="H27" i="6" s="1"/>
  <c r="C27" i="6"/>
  <c r="E27" i="6" s="1"/>
  <c r="G27" i="6" s="1"/>
  <c r="D51" i="6"/>
  <c r="F51" i="6" s="1"/>
  <c r="H51" i="6" s="1"/>
  <c r="C51" i="6"/>
  <c r="E51" i="6" s="1"/>
  <c r="G51" i="6" s="1"/>
  <c r="D32" i="6"/>
  <c r="F32" i="6" s="1"/>
  <c r="H32" i="6" s="1"/>
  <c r="C32" i="6"/>
  <c r="E32" i="6" s="1"/>
  <c r="G32" i="6" s="1"/>
  <c r="D48" i="6"/>
  <c r="F48" i="6" s="1"/>
  <c r="H48" i="6" s="1"/>
  <c r="C48" i="6"/>
  <c r="E48" i="6" s="1"/>
  <c r="G48" i="6" s="1"/>
  <c r="D11" i="6"/>
  <c r="F11" i="6" s="1"/>
  <c r="H11" i="6" s="1"/>
  <c r="C11" i="6"/>
  <c r="E11" i="6" s="1"/>
  <c r="G11" i="6" s="1"/>
  <c r="C9" i="6"/>
  <c r="E9" i="6" s="1"/>
  <c r="G9" i="6" s="1"/>
  <c r="D9" i="6"/>
  <c r="F9" i="6" s="1"/>
  <c r="H9" i="6" s="1"/>
  <c r="D12" i="6"/>
  <c r="F12" i="6" s="1"/>
  <c r="H12" i="6" s="1"/>
  <c r="C12" i="6"/>
  <c r="E12" i="6" s="1"/>
  <c r="G12" i="6" s="1"/>
  <c r="C17" i="6"/>
  <c r="E17" i="6" s="1"/>
  <c r="G17" i="6" s="1"/>
  <c r="D17" i="6"/>
  <c r="F17" i="6" s="1"/>
  <c r="H17" i="6" s="1"/>
  <c r="D31" i="6"/>
  <c r="F31" i="6" s="1"/>
  <c r="H31" i="6" s="1"/>
  <c r="C31" i="6"/>
  <c r="E31" i="6" s="1"/>
  <c r="G31" i="6" s="1"/>
  <c r="D47" i="6"/>
  <c r="F47" i="6" s="1"/>
  <c r="H47" i="6" s="1"/>
  <c r="C47" i="6"/>
  <c r="E47" i="6" s="1"/>
  <c r="G47" i="6" s="1"/>
  <c r="D20" i="6"/>
  <c r="F20" i="6" s="1"/>
  <c r="H20" i="6" s="1"/>
  <c r="C20" i="6"/>
  <c r="E20" i="6" s="1"/>
  <c r="G20" i="6" s="1"/>
  <c r="D36" i="6"/>
  <c r="F36" i="6" s="1"/>
  <c r="H36" i="6" s="1"/>
  <c r="C36" i="6"/>
  <c r="E36" i="6" s="1"/>
  <c r="G36" i="6" s="1"/>
  <c r="D52" i="6"/>
  <c r="F52" i="6" s="1"/>
  <c r="H52" i="6" s="1"/>
  <c r="C52" i="6"/>
  <c r="E52" i="6" s="1"/>
  <c r="G52" i="6" s="1"/>
  <c r="C41" i="6"/>
  <c r="E41" i="6" s="1"/>
  <c r="G41" i="6" s="1"/>
  <c r="D41" i="6"/>
  <c r="F41" i="6" s="1"/>
  <c r="H41" i="6" s="1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B5" i="3"/>
  <c r="I30" i="6" l="1"/>
  <c r="I31" i="6" s="1"/>
  <c r="I32" i="6" s="1"/>
  <c r="I33" i="6" s="1"/>
  <c r="C31" i="3"/>
  <c r="C32" i="3" s="1"/>
  <c r="C33" i="3" s="1"/>
  <c r="C34" i="3" s="1"/>
  <c r="C35" i="3" s="1"/>
  <c r="E7" i="2"/>
  <c r="D33" i="3"/>
  <c r="E33" i="3" s="1"/>
  <c r="D32" i="3"/>
  <c r="E32" i="3" s="1"/>
  <c r="D31" i="3"/>
  <c r="E31" i="3" s="1"/>
  <c r="C8" i="2"/>
  <c r="D9" i="12"/>
  <c r="E9" i="12" s="1"/>
  <c r="C10" i="12"/>
  <c r="N4" i="6"/>
  <c r="O4" i="6"/>
  <c r="F8" i="6"/>
  <c r="H8" i="6" s="1"/>
  <c r="E7" i="6"/>
  <c r="G7" i="6" s="1"/>
  <c r="C4" i="6"/>
  <c r="D4" i="6"/>
  <c r="E4" i="6"/>
  <c r="B4" i="6"/>
  <c r="D8" i="2" l="1"/>
  <c r="E8" i="2" s="1"/>
  <c r="C11" i="12"/>
  <c r="D10" i="12"/>
  <c r="E10" i="12" s="1"/>
  <c r="D7" i="3"/>
  <c r="D8" i="3"/>
  <c r="I4" i="6"/>
  <c r="G4" i="6"/>
  <c r="H4" i="6"/>
  <c r="F4" i="6"/>
  <c r="C9" i="2" l="1"/>
  <c r="D9" i="2" s="1"/>
  <c r="C10" i="2" s="1"/>
  <c r="D10" i="2" s="1"/>
  <c r="D11" i="12"/>
  <c r="E11" i="12" s="1"/>
  <c r="C12" i="12"/>
  <c r="E10" i="2" l="1"/>
  <c r="E9" i="2"/>
  <c r="C11" i="2"/>
  <c r="C13" i="12"/>
  <c r="D12" i="12"/>
  <c r="E12" i="12" s="1"/>
  <c r="D11" i="2" l="1"/>
  <c r="C12" i="2" s="1"/>
  <c r="C14" i="12"/>
  <c r="D13" i="12"/>
  <c r="E13" i="12" s="1"/>
  <c r="E11" i="2" l="1"/>
  <c r="D12" i="2"/>
  <c r="E12" i="2" s="1"/>
  <c r="C15" i="12"/>
  <c r="D14" i="12"/>
  <c r="E14" i="12" s="1"/>
  <c r="C13" i="2" l="1"/>
  <c r="D15" i="12"/>
  <c r="E15" i="12" s="1"/>
  <c r="C16" i="12"/>
  <c r="D13" i="2" l="1"/>
  <c r="E13" i="2" s="1"/>
  <c r="C17" i="12"/>
  <c r="D16" i="12"/>
  <c r="E16" i="12" s="1"/>
  <c r="C14" i="2" l="1"/>
  <c r="D17" i="12"/>
  <c r="E17" i="12" s="1"/>
  <c r="C18" i="12"/>
  <c r="D14" i="2" l="1"/>
  <c r="E14" i="2" s="1"/>
  <c r="C19" i="12"/>
  <c r="D18" i="12"/>
  <c r="E18" i="12" s="1"/>
  <c r="C15" i="2" l="1"/>
  <c r="D19" i="12"/>
  <c r="E19" i="12" s="1"/>
  <c r="C20" i="12"/>
  <c r="D15" i="2" l="1"/>
  <c r="E15" i="2" s="1"/>
  <c r="D20" i="12"/>
  <c r="E20" i="12" s="1"/>
  <c r="C21" i="12"/>
  <c r="C16" i="2" l="1"/>
  <c r="C22" i="12"/>
  <c r="D21" i="12"/>
  <c r="E21" i="12" s="1"/>
  <c r="D16" i="2" l="1"/>
  <c r="E16" i="2" s="1"/>
  <c r="C23" i="12"/>
  <c r="D22" i="12"/>
  <c r="E22" i="12" s="1"/>
  <c r="C17" i="2" l="1"/>
  <c r="C24" i="12"/>
  <c r="D23" i="12"/>
  <c r="E23" i="12" s="1"/>
  <c r="D17" i="2" l="1"/>
  <c r="C18" i="2" s="1"/>
  <c r="C25" i="12"/>
  <c r="D24" i="12"/>
  <c r="E24" i="12" s="1"/>
  <c r="E17" i="2" l="1"/>
  <c r="C26" i="12"/>
  <c r="D25" i="12"/>
  <c r="E25" i="12" s="1"/>
  <c r="D26" i="12" l="1"/>
  <c r="E26" i="12" s="1"/>
  <c r="C27" i="12"/>
  <c r="D27" i="12" l="1"/>
  <c r="C28" i="1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B5" i="2"/>
  <c r="A5" i="2"/>
  <c r="D28" i="12" l="1"/>
  <c r="E28" i="12" s="1"/>
  <c r="C29" i="12"/>
  <c r="E27" i="12"/>
  <c r="C30" i="12" l="1"/>
  <c r="D29" i="12"/>
  <c r="C31" i="12" l="1"/>
  <c r="D30" i="12"/>
  <c r="E30" i="12" s="1"/>
  <c r="F7" i="2"/>
  <c r="G7" i="2" s="1"/>
  <c r="E29" i="12"/>
  <c r="F8" i="2"/>
  <c r="G8" i="2" s="1"/>
  <c r="D31" i="12" l="1"/>
  <c r="C32" i="12"/>
  <c r="F9" i="2"/>
  <c r="G9" i="2" s="1"/>
  <c r="C33" i="12" l="1"/>
  <c r="D32" i="12"/>
  <c r="E32" i="12" s="1"/>
  <c r="E31" i="12"/>
  <c r="C34" i="12" l="1"/>
  <c r="D33" i="12"/>
  <c r="F10" i="2"/>
  <c r="G10" i="2" s="1"/>
  <c r="D34" i="12" l="1"/>
  <c r="E34" i="12" s="1"/>
  <c r="C35" i="12"/>
  <c r="E33" i="12"/>
  <c r="B4" i="12"/>
  <c r="N4" i="12"/>
  <c r="C4" i="12"/>
  <c r="D4" i="12" l="1"/>
  <c r="E4" i="12"/>
  <c r="F11" i="2"/>
  <c r="G11" i="2" s="1"/>
  <c r="F12" i="2" l="1"/>
  <c r="G12" i="2" s="1"/>
  <c r="D18" i="2" l="1"/>
  <c r="E18" i="2" s="1"/>
  <c r="F13" i="2"/>
  <c r="G13" i="2" s="1"/>
  <c r="C19" i="2" l="1"/>
  <c r="D19" i="2" s="1"/>
  <c r="C20" i="2" s="1"/>
  <c r="E19" i="2" l="1"/>
  <c r="D20" i="2"/>
  <c r="C21" i="2" s="1"/>
  <c r="F14" i="2"/>
  <c r="G14" i="2" s="1"/>
  <c r="E20" i="2" l="1"/>
  <c r="D21" i="2"/>
  <c r="C22" i="2" s="1"/>
  <c r="E21" i="2" l="1"/>
  <c r="D22" i="2"/>
  <c r="C23" i="2" s="1"/>
  <c r="F15" i="2"/>
  <c r="G15" i="2" s="1"/>
  <c r="E22" i="2" l="1"/>
  <c r="D23" i="2"/>
  <c r="C24" i="2" s="1"/>
  <c r="E23" i="2" l="1"/>
  <c r="D24" i="2"/>
  <c r="C25" i="2" s="1"/>
  <c r="F16" i="2"/>
  <c r="G16" i="2" s="1"/>
  <c r="E24" i="2" l="1"/>
  <c r="D25" i="2"/>
  <c r="C26" i="2" s="1"/>
  <c r="E25" i="2" l="1"/>
  <c r="D26" i="2"/>
  <c r="C27" i="2" s="1"/>
  <c r="F17" i="2"/>
  <c r="G17" i="2" s="1"/>
  <c r="E26" i="2" l="1"/>
  <c r="D27" i="2"/>
  <c r="C28" i="2" s="1"/>
  <c r="E27" i="2" l="1"/>
  <c r="D28" i="2"/>
  <c r="C29" i="2" s="1"/>
  <c r="F18" i="2"/>
  <c r="G18" i="2" s="1"/>
  <c r="E28" i="2" l="1"/>
  <c r="D29" i="2"/>
  <c r="C30" i="2" s="1"/>
  <c r="E29" i="2" l="1"/>
  <c r="D30" i="2"/>
  <c r="F19" i="2"/>
  <c r="G19" i="2" s="1"/>
  <c r="C31" i="2" l="1"/>
  <c r="F20" i="2"/>
  <c r="G20" i="2" s="1"/>
  <c r="N4" i="2" l="1"/>
  <c r="D31" i="2"/>
  <c r="C32" i="2" s="1"/>
  <c r="F21" i="2"/>
  <c r="G21" i="2" s="1"/>
  <c r="D32" i="2" l="1"/>
  <c r="F22" i="2"/>
  <c r="G22" i="2" s="1"/>
  <c r="C33" i="2" l="1"/>
  <c r="F23" i="2"/>
  <c r="D33" i="2" l="1"/>
  <c r="G23" i="2"/>
  <c r="C34" i="2" l="1"/>
  <c r="D36" i="2"/>
  <c r="F24" i="2"/>
  <c r="D34" i="2" l="1"/>
  <c r="C35" i="2"/>
  <c r="D37" i="2"/>
  <c r="G24" i="2"/>
  <c r="D35" i="2" l="1"/>
  <c r="M4" i="2"/>
  <c r="D38" i="2"/>
  <c r="F25" i="2"/>
  <c r="D39" i="2" l="1"/>
  <c r="G25" i="2"/>
  <c r="D40" i="2" l="1"/>
  <c r="F26" i="2"/>
  <c r="D41" i="2" l="1"/>
  <c r="G26" i="2"/>
  <c r="D42" i="2" l="1"/>
  <c r="F27" i="2"/>
  <c r="G27" i="2" s="1"/>
  <c r="D43" i="2" l="1"/>
  <c r="F28" i="2"/>
  <c r="G28" i="2" s="1"/>
  <c r="D44" i="2" l="1"/>
  <c r="F29" i="2"/>
  <c r="G29" i="2" s="1"/>
  <c r="D45" i="2" l="1"/>
  <c r="F30" i="2"/>
  <c r="G30" i="2" s="1"/>
  <c r="D46" i="2" l="1"/>
  <c r="F31" i="2"/>
  <c r="G31" i="2" s="1"/>
  <c r="D47" i="2" l="1"/>
  <c r="F32" i="2"/>
  <c r="G32" i="2" s="1"/>
  <c r="D48" i="2" l="1"/>
  <c r="F33" i="2"/>
  <c r="G33" i="2" s="1"/>
  <c r="D49" i="2" l="1"/>
  <c r="F34" i="2"/>
  <c r="G34" i="2" s="1"/>
  <c r="D50" i="2" l="1"/>
  <c r="F35" i="2"/>
  <c r="G35" i="2" s="1"/>
  <c r="D51" i="2" l="1"/>
  <c r="F36" i="2"/>
  <c r="G36" i="2" s="1"/>
  <c r="D52" i="2" l="1"/>
  <c r="F37" i="2"/>
  <c r="G37" i="2" s="1"/>
  <c r="D53" i="2" l="1"/>
  <c r="F38" i="2"/>
  <c r="G38" i="2" s="1"/>
  <c r="D54" i="2" l="1"/>
  <c r="F39" i="2"/>
  <c r="G39" i="2" s="1"/>
  <c r="D55" i="2" l="1"/>
  <c r="F40" i="2"/>
  <c r="G40" i="2" s="1"/>
  <c r="D56" i="2" l="1"/>
  <c r="F41" i="2"/>
  <c r="G41" i="2" s="1"/>
  <c r="D57" i="2" l="1"/>
  <c r="F42" i="2"/>
  <c r="G42" i="2" s="1"/>
  <c r="D58" i="2" l="1"/>
  <c r="F43" i="2"/>
  <c r="G43" i="2" s="1"/>
  <c r="D59" i="2" l="1"/>
  <c r="F44" i="2"/>
  <c r="G44" i="2" s="1"/>
  <c r="E4" i="2" l="1"/>
  <c r="D60" i="2"/>
  <c r="F45" i="2"/>
  <c r="G45" i="2" s="1"/>
  <c r="F46" i="2" l="1"/>
  <c r="G46" i="2" s="1"/>
  <c r="F47" i="2" l="1"/>
  <c r="G47" i="2" s="1"/>
  <c r="F48" i="2" l="1"/>
  <c r="G48" i="2" s="1"/>
  <c r="F49" i="2" l="1"/>
  <c r="G49" i="2" s="1"/>
  <c r="F50" i="2" l="1"/>
  <c r="G50" i="2" s="1"/>
  <c r="F51" i="2" l="1"/>
  <c r="G51" i="2" s="1"/>
  <c r="F52" i="2" l="1"/>
  <c r="G52" i="2" s="1"/>
  <c r="F53" i="2" l="1"/>
  <c r="G53" i="2" s="1"/>
  <c r="F54" i="2" l="1"/>
  <c r="G54" i="2" s="1"/>
  <c r="F55" i="2" l="1"/>
  <c r="G55" i="2" s="1"/>
  <c r="F56" i="2" l="1"/>
  <c r="G56" i="2" s="1"/>
  <c r="F57" i="2" l="1"/>
  <c r="G57" i="2" s="1"/>
  <c r="F58" i="2" l="1"/>
  <c r="G58" i="2" s="1"/>
  <c r="F59" i="2" l="1"/>
  <c r="D4" i="2"/>
  <c r="G59" i="2" l="1"/>
  <c r="G4" i="2" s="1"/>
  <c r="F4" i="2"/>
  <c r="E7" i="3" l="1"/>
  <c r="E8" i="3"/>
  <c r="C4" i="3" l="1"/>
  <c r="N4" i="3"/>
  <c r="D11" i="3"/>
  <c r="E11" i="3" s="1"/>
  <c r="D13" i="3"/>
  <c r="E13" i="3" s="1"/>
  <c r="D19" i="3"/>
  <c r="E19" i="3" s="1"/>
  <c r="D22" i="3"/>
  <c r="E22" i="3" s="1"/>
  <c r="D28" i="3"/>
  <c r="E28" i="3" s="1"/>
  <c r="D15" i="3"/>
  <c r="E15" i="3" s="1"/>
  <c r="D26" i="3"/>
  <c r="E26" i="3" s="1"/>
  <c r="D10" i="3"/>
  <c r="E10" i="3" s="1"/>
  <c r="D12" i="3"/>
  <c r="E12" i="3" s="1"/>
  <c r="D14" i="3"/>
  <c r="E14" i="3" s="1"/>
  <c r="D16" i="3"/>
  <c r="E16" i="3" s="1"/>
  <c r="D18" i="3"/>
  <c r="E18" i="3" s="1"/>
  <c r="D21" i="3"/>
  <c r="E21" i="3" s="1"/>
  <c r="D23" i="3"/>
  <c r="E23" i="3" s="1"/>
  <c r="D25" i="3"/>
  <c r="E25" i="3" s="1"/>
  <c r="D27" i="3"/>
  <c r="E27" i="3" s="1"/>
  <c r="D29" i="3"/>
  <c r="E29" i="3" s="1"/>
  <c r="D17" i="3"/>
  <c r="E17" i="3" s="1"/>
  <c r="D20" i="3"/>
  <c r="E20" i="3" s="1"/>
  <c r="D24" i="3"/>
  <c r="E24" i="3" s="1"/>
  <c r="D9" i="3"/>
  <c r="D4" i="3" l="1"/>
  <c r="B4" i="3"/>
  <c r="E9" i="3"/>
  <c r="E4" i="3" s="1"/>
</calcChain>
</file>

<file path=xl/comments1.xml><?xml version="1.0" encoding="utf-8"?>
<comments xmlns="http://schemas.openxmlformats.org/spreadsheetml/2006/main">
  <authors>
    <author>Miguel Hidalgo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Last Observation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7" authorId="0" shapeId="0">
      <text>
        <r>
          <rPr>
            <b/>
            <sz val="9"/>
            <color indexed="81"/>
            <rFont val="Tahoma"/>
            <family val="2"/>
          </rPr>
          <t>Last Observation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7" authorId="0" shapeId="0">
      <text>
        <r>
          <rPr>
            <b/>
            <sz val="9"/>
            <color indexed="81"/>
            <rFont val="Tahoma"/>
            <family val="2"/>
          </rPr>
          <t>Last Observation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Last Observation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Last Observation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57" authorId="0" shapeId="0">
      <text>
        <r>
          <rPr>
            <b/>
            <sz val="9"/>
            <color indexed="81"/>
            <rFont val="Tahoma"/>
            <family val="2"/>
          </rPr>
          <t>Last Observation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<sst xmlns="http://schemas.openxmlformats.org/spreadsheetml/2006/main" count="243" uniqueCount="131">
  <si>
    <t xml:space="preserve"> t</t>
  </si>
  <si>
    <t>Alpha</t>
  </si>
  <si>
    <t>Beta</t>
  </si>
  <si>
    <t>(Trend)
Tt</t>
  </si>
  <si>
    <t>Error</t>
  </si>
  <si>
    <t>MAE</t>
  </si>
  <si>
    <t>% Error</t>
  </si>
  <si>
    <t>LMS</t>
  </si>
  <si>
    <t>Variable</t>
  </si>
  <si>
    <t>Model</t>
  </si>
  <si>
    <t>Linear Trend Model</t>
  </si>
  <si>
    <t>Yt</t>
  </si>
  <si>
    <t>=</t>
  </si>
  <si>
    <r>
      <t>B</t>
    </r>
    <r>
      <rPr>
        <b/>
        <vertAlign val="subscript"/>
        <sz val="16"/>
        <color theme="1"/>
        <rFont val="Calibri"/>
        <family val="2"/>
        <scheme val="minor"/>
      </rPr>
      <t>0</t>
    </r>
    <r>
      <rPr>
        <b/>
        <sz val="16"/>
        <color theme="1"/>
        <rFont val="Calibri"/>
        <family val="2"/>
        <scheme val="minor"/>
      </rPr>
      <t xml:space="preserve"> + B</t>
    </r>
    <r>
      <rPr>
        <b/>
        <vertAlign val="subscript"/>
        <sz val="16"/>
        <color theme="1"/>
        <rFont val="Calibri"/>
        <family val="2"/>
        <scheme val="minor"/>
      </rPr>
      <t>1</t>
    </r>
    <r>
      <rPr>
        <b/>
        <sz val="16"/>
        <color theme="1"/>
        <rFont val="Calibri"/>
        <family val="2"/>
        <scheme val="minor"/>
      </rPr>
      <t>t + Et</t>
    </r>
  </si>
  <si>
    <t>Value of the time Time Series at period t</t>
  </si>
  <si>
    <r>
      <t>B</t>
    </r>
    <r>
      <rPr>
        <b/>
        <vertAlign val="subscript"/>
        <sz val="16"/>
        <color theme="1"/>
        <rFont val="Calibri"/>
        <family val="2"/>
        <scheme val="minor"/>
      </rPr>
      <t>0</t>
    </r>
  </si>
  <si>
    <t>y-intercept</t>
  </si>
  <si>
    <r>
      <t>B</t>
    </r>
    <r>
      <rPr>
        <b/>
        <vertAlign val="subscript"/>
        <sz val="16"/>
        <color theme="1"/>
        <rFont val="Calibri"/>
        <family val="2"/>
        <scheme val="minor"/>
      </rPr>
      <t>1</t>
    </r>
  </si>
  <si>
    <t>Slope</t>
  </si>
  <si>
    <t>Et</t>
  </si>
  <si>
    <t>Random Error at Period t</t>
  </si>
  <si>
    <t>t</t>
  </si>
  <si>
    <t>Time Period</t>
  </si>
  <si>
    <t>Single Exponential Smoothing Model</t>
  </si>
  <si>
    <t>yt</t>
  </si>
  <si>
    <t>Actual Time Series Data</t>
  </si>
  <si>
    <r>
      <t>y</t>
    </r>
    <r>
      <rPr>
        <vertAlign val="subscript"/>
        <sz val="16"/>
        <color theme="1"/>
        <rFont val="Calibri"/>
        <family val="2"/>
        <scheme val="minor"/>
      </rPr>
      <t>t</t>
    </r>
    <r>
      <rPr>
        <sz val="16"/>
        <color theme="1"/>
        <rFont val="Calibri"/>
        <family val="2"/>
        <scheme val="minor"/>
      </rPr>
      <t>=Actual value for period t</t>
    </r>
  </si>
  <si>
    <t>F</t>
  </si>
  <si>
    <t>Forecast</t>
  </si>
  <si>
    <r>
      <t>F</t>
    </r>
    <r>
      <rPr>
        <vertAlign val="subscript"/>
        <sz val="16"/>
        <color theme="1"/>
        <rFont val="Calibri"/>
        <family val="2"/>
        <scheme val="minor"/>
      </rPr>
      <t>t</t>
    </r>
    <r>
      <rPr>
        <sz val="16"/>
        <color theme="1"/>
        <rFont val="Calibri"/>
        <family val="2"/>
        <scheme val="minor"/>
      </rPr>
      <t>= Forecast value for period t</t>
    </r>
  </si>
  <si>
    <t>α</t>
  </si>
  <si>
    <t>Alpha, Smoothing Constant</t>
  </si>
  <si>
    <r>
      <t xml:space="preserve">0 </t>
    </r>
    <r>
      <rPr>
        <sz val="16"/>
        <color theme="1"/>
        <rFont val="Calibri"/>
        <family val="2"/>
      </rPr>
      <t>≥ α ≤ 1</t>
    </r>
  </si>
  <si>
    <r>
      <t>F</t>
    </r>
    <r>
      <rPr>
        <b/>
        <vertAlign val="subscript"/>
        <sz val="16"/>
        <color theme="1"/>
        <rFont val="Calibri"/>
        <family val="2"/>
        <scheme val="minor"/>
      </rPr>
      <t>t+1</t>
    </r>
  </si>
  <si>
    <r>
      <t>αy</t>
    </r>
    <r>
      <rPr>
        <vertAlign val="subscript"/>
        <sz val="16"/>
        <color theme="1"/>
        <rFont val="Calibri"/>
        <family val="2"/>
        <scheme val="minor"/>
      </rPr>
      <t xml:space="preserve">t </t>
    </r>
    <r>
      <rPr>
        <sz val="16"/>
        <color theme="1"/>
        <rFont val="Calibri"/>
        <family val="2"/>
        <scheme val="minor"/>
      </rPr>
      <t>+ ( 1 - α ) F</t>
    </r>
    <r>
      <rPr>
        <vertAlign val="subscript"/>
        <sz val="16"/>
        <color theme="1"/>
        <rFont val="Calibri"/>
        <family val="2"/>
        <scheme val="minor"/>
      </rPr>
      <t>t</t>
    </r>
  </si>
  <si>
    <r>
      <t>F</t>
    </r>
    <r>
      <rPr>
        <vertAlign val="subscript"/>
        <sz val="16"/>
        <color theme="1"/>
        <rFont val="Calibri"/>
        <family val="2"/>
        <scheme val="minor"/>
      </rPr>
      <t>t+1</t>
    </r>
    <r>
      <rPr>
        <sz val="16"/>
        <color theme="1"/>
        <rFont val="Calibri"/>
        <family val="2"/>
        <scheme val="minor"/>
      </rPr>
      <t>= Forecast value for period t + 1</t>
    </r>
  </si>
  <si>
    <r>
      <t>F</t>
    </r>
    <r>
      <rPr>
        <vertAlign val="subscript"/>
        <sz val="16"/>
        <color theme="1"/>
        <rFont val="Calibri"/>
        <family val="2"/>
        <scheme val="minor"/>
      </rPr>
      <t xml:space="preserve">t </t>
    </r>
    <r>
      <rPr>
        <sz val="16"/>
        <color theme="1"/>
        <rFont val="Calibri"/>
        <family val="2"/>
        <scheme val="minor"/>
      </rPr>
      <t xml:space="preserve">+ </t>
    </r>
    <r>
      <rPr>
        <sz val="16"/>
        <color theme="1"/>
        <rFont val="Calibri"/>
        <family val="2"/>
      </rPr>
      <t>α(Y</t>
    </r>
    <r>
      <rPr>
        <vertAlign val="subscript"/>
        <sz val="16"/>
        <color theme="1"/>
        <rFont val="Calibri"/>
        <family val="2"/>
      </rPr>
      <t>t</t>
    </r>
    <r>
      <rPr>
        <sz val="16"/>
        <color theme="1"/>
        <rFont val="Calibri"/>
        <family val="2"/>
      </rPr>
      <t xml:space="preserve"> - F</t>
    </r>
    <r>
      <rPr>
        <vertAlign val="subscript"/>
        <sz val="16"/>
        <color theme="1"/>
        <rFont val="Calibri"/>
        <family val="2"/>
      </rPr>
      <t>t</t>
    </r>
    <r>
      <rPr>
        <sz val="16"/>
        <color theme="1"/>
        <rFont val="Calibri"/>
        <family val="2"/>
      </rPr>
      <t>)</t>
    </r>
  </si>
  <si>
    <r>
      <t>F</t>
    </r>
    <r>
      <rPr>
        <b/>
        <vertAlign val="subscript"/>
        <sz val="16"/>
        <color theme="1"/>
        <rFont val="Calibri"/>
        <family val="2"/>
        <scheme val="minor"/>
      </rPr>
      <t>t</t>
    </r>
  </si>
  <si>
    <r>
      <t>Y</t>
    </r>
    <r>
      <rPr>
        <vertAlign val="subscript"/>
        <sz val="16"/>
        <color theme="1"/>
        <rFont val="Calibri"/>
        <family val="2"/>
        <scheme val="minor"/>
      </rPr>
      <t>t</t>
    </r>
  </si>
  <si>
    <t>Initial values- First Forescast is equal to Yt in next line</t>
  </si>
  <si>
    <r>
      <t>αy</t>
    </r>
    <r>
      <rPr>
        <vertAlign val="subscript"/>
        <sz val="16"/>
        <color theme="1"/>
        <rFont val="Calibri"/>
        <family val="2"/>
        <scheme val="minor"/>
      </rPr>
      <t xml:space="preserve">2 </t>
    </r>
    <r>
      <rPr>
        <sz val="16"/>
        <color theme="1"/>
        <rFont val="Calibri"/>
        <family val="2"/>
        <scheme val="minor"/>
      </rPr>
      <t>+ ( 1 - α ) F</t>
    </r>
    <r>
      <rPr>
        <vertAlign val="subscript"/>
        <sz val="16"/>
        <color theme="1"/>
        <rFont val="Calibri"/>
        <family val="2"/>
        <scheme val="minor"/>
      </rPr>
      <t>1</t>
    </r>
  </si>
  <si>
    <t>Initial values- First Forescast equation is equal to Y at t=2 and F at t=1 in next line</t>
  </si>
  <si>
    <r>
      <t>SQRT(SUMXMY2(Y</t>
    </r>
    <r>
      <rPr>
        <vertAlign val="subscript"/>
        <sz val="16"/>
        <color theme="1"/>
        <rFont val="Calibri"/>
        <family val="2"/>
        <scheme val="minor"/>
      </rPr>
      <t>2</t>
    </r>
    <r>
      <rPr>
        <sz val="16"/>
        <color theme="1"/>
        <rFont val="Calibri"/>
        <family val="2"/>
        <scheme val="minor"/>
      </rPr>
      <t>:Yn,F</t>
    </r>
    <r>
      <rPr>
        <vertAlign val="subscript"/>
        <sz val="16"/>
        <color theme="1"/>
        <rFont val="Calibri"/>
        <family val="2"/>
        <scheme val="minor"/>
      </rPr>
      <t>2</t>
    </r>
    <r>
      <rPr>
        <sz val="16"/>
        <color theme="1"/>
        <rFont val="Calibri"/>
        <family val="2"/>
        <scheme val="minor"/>
      </rPr>
      <t>:Fn)/COUNT(F</t>
    </r>
    <r>
      <rPr>
        <vertAlign val="subscript"/>
        <sz val="16"/>
        <color theme="1"/>
        <rFont val="Calibri"/>
        <family val="2"/>
        <scheme val="minor"/>
      </rPr>
      <t>2</t>
    </r>
    <r>
      <rPr>
        <sz val="16"/>
        <color theme="1"/>
        <rFont val="Calibri"/>
        <family val="2"/>
        <scheme val="minor"/>
      </rPr>
      <t>:Fn))</t>
    </r>
  </si>
  <si>
    <t>Estimate the Least Mean Square Error.</t>
  </si>
  <si>
    <r>
      <t>F</t>
    </r>
    <r>
      <rPr>
        <b/>
        <vertAlign val="subscript"/>
        <sz val="16"/>
        <color theme="1"/>
        <rFont val="Calibri"/>
        <family val="2"/>
        <scheme val="minor"/>
      </rPr>
      <t>t+n</t>
    </r>
  </si>
  <si>
    <t>Can be done by using the last observation &amp; Forecast</t>
  </si>
  <si>
    <t>Appropiate for stationary series.  Lag behind a trend.</t>
  </si>
  <si>
    <t>Double Exponential Smoothing (Holt's Linear Exponential Smoothing)</t>
  </si>
  <si>
    <t>β</t>
  </si>
  <si>
    <t>Beta, Trend Smoothing Constant</t>
  </si>
  <si>
    <r>
      <t xml:space="preserve">0 </t>
    </r>
    <r>
      <rPr>
        <sz val="16"/>
        <color theme="1"/>
        <rFont val="Calibri"/>
        <family val="2"/>
      </rPr>
      <t>≥ β ≤ 1</t>
    </r>
  </si>
  <si>
    <r>
      <t>L</t>
    </r>
    <r>
      <rPr>
        <b/>
        <vertAlign val="subscript"/>
        <sz val="16"/>
        <color theme="1"/>
        <rFont val="Calibri"/>
        <family val="2"/>
        <scheme val="minor"/>
      </rPr>
      <t>t</t>
    </r>
  </si>
  <si>
    <r>
      <t>αy</t>
    </r>
    <r>
      <rPr>
        <vertAlign val="subscript"/>
        <sz val="16"/>
        <color theme="1"/>
        <rFont val="Calibri"/>
        <family val="2"/>
        <scheme val="minor"/>
      </rPr>
      <t>t</t>
    </r>
    <r>
      <rPr>
        <sz val="16"/>
        <color theme="1"/>
        <rFont val="Calibri"/>
        <family val="2"/>
        <scheme val="minor"/>
      </rPr>
      <t xml:space="preserve"> + ( 1 - α ) F</t>
    </r>
    <r>
      <rPr>
        <vertAlign val="subscript"/>
        <sz val="16"/>
        <color theme="1"/>
        <rFont val="Calibri"/>
        <family val="2"/>
        <scheme val="minor"/>
      </rPr>
      <t>t</t>
    </r>
  </si>
  <si>
    <t>Level value for period t</t>
  </si>
  <si>
    <t>Tt</t>
  </si>
  <si>
    <r>
      <t>β(L</t>
    </r>
    <r>
      <rPr>
        <vertAlign val="subscript"/>
        <sz val="16"/>
        <color theme="1"/>
        <rFont val="Calibri"/>
        <family val="2"/>
        <scheme val="minor"/>
      </rPr>
      <t>t</t>
    </r>
    <r>
      <rPr>
        <sz val="16"/>
        <color theme="1"/>
        <rFont val="Calibri"/>
        <family val="2"/>
        <scheme val="minor"/>
      </rPr>
      <t xml:space="preserve"> - L</t>
    </r>
    <r>
      <rPr>
        <vertAlign val="subscript"/>
        <sz val="16"/>
        <color theme="1"/>
        <rFont val="Calibri"/>
        <family val="2"/>
        <scheme val="minor"/>
      </rPr>
      <t>t-1</t>
    </r>
    <r>
      <rPr>
        <sz val="16"/>
        <color theme="1"/>
        <rFont val="Calibri"/>
        <family val="2"/>
        <scheme val="minor"/>
      </rPr>
      <t>) + (1 - β)T</t>
    </r>
    <r>
      <rPr>
        <vertAlign val="subscript"/>
        <sz val="16"/>
        <color theme="1"/>
        <rFont val="Calibri"/>
        <family val="2"/>
        <scheme val="minor"/>
      </rPr>
      <t>t-1</t>
    </r>
  </si>
  <si>
    <t>Trend value for period t</t>
  </si>
  <si>
    <r>
      <t>F</t>
    </r>
    <r>
      <rPr>
        <b/>
        <vertAlign val="subscript"/>
        <sz val="16"/>
        <color theme="1"/>
        <rFont val="Calibri"/>
        <family val="2"/>
        <scheme val="minor"/>
      </rPr>
      <t>t+k</t>
    </r>
  </si>
  <si>
    <r>
      <t>L</t>
    </r>
    <r>
      <rPr>
        <vertAlign val="subscript"/>
        <sz val="16"/>
        <color theme="1"/>
        <rFont val="Calibri"/>
        <family val="2"/>
        <scheme val="minor"/>
      </rPr>
      <t>t</t>
    </r>
    <r>
      <rPr>
        <sz val="16"/>
        <color theme="1"/>
        <rFont val="Calibri"/>
        <family val="2"/>
        <scheme val="minor"/>
      </rPr>
      <t>+T</t>
    </r>
    <r>
      <rPr>
        <vertAlign val="subscript"/>
        <sz val="16"/>
        <color theme="1"/>
        <rFont val="Calibri"/>
        <family val="2"/>
        <scheme val="minor"/>
      </rPr>
      <t>t(K)</t>
    </r>
  </si>
  <si>
    <t>Forecast for K periods from period t</t>
  </si>
  <si>
    <r>
      <t>T</t>
    </r>
    <r>
      <rPr>
        <b/>
        <vertAlign val="subscript"/>
        <sz val="16"/>
        <color theme="1"/>
        <rFont val="Calibri"/>
        <family val="2"/>
        <scheme val="minor"/>
      </rPr>
      <t>2</t>
    </r>
  </si>
  <si>
    <r>
      <t>Y</t>
    </r>
    <r>
      <rPr>
        <vertAlign val="subscript"/>
        <sz val="16"/>
        <color theme="1"/>
        <rFont val="Calibri"/>
        <family val="2"/>
        <scheme val="minor"/>
      </rPr>
      <t>2</t>
    </r>
    <r>
      <rPr>
        <sz val="16"/>
        <color theme="1"/>
        <rFont val="Calibri"/>
        <family val="2"/>
        <scheme val="minor"/>
      </rPr>
      <t xml:space="preserve"> - Y</t>
    </r>
    <r>
      <rPr>
        <vertAlign val="subscript"/>
        <sz val="16"/>
        <color theme="1"/>
        <rFont val="Calibri"/>
        <family val="2"/>
        <scheme val="minor"/>
      </rPr>
      <t>1</t>
    </r>
  </si>
  <si>
    <t>Initial values-Initial smoothed trend at time 2 = obseved trend that did occur between periods 1 and 2</t>
  </si>
  <si>
    <r>
      <t>L</t>
    </r>
    <r>
      <rPr>
        <b/>
        <vertAlign val="subscript"/>
        <sz val="16"/>
        <color theme="1"/>
        <rFont val="Calibri"/>
        <family val="2"/>
        <scheme val="minor"/>
      </rPr>
      <t>2</t>
    </r>
  </si>
  <si>
    <r>
      <t>Y</t>
    </r>
    <r>
      <rPr>
        <vertAlign val="subscript"/>
        <sz val="16"/>
        <color theme="1"/>
        <rFont val="Calibri"/>
        <family val="2"/>
        <scheme val="minor"/>
      </rPr>
      <t>2</t>
    </r>
  </si>
  <si>
    <t>Initial Level, the level at period 2 is set to the actual time series value at period 2</t>
  </si>
  <si>
    <r>
      <t>F</t>
    </r>
    <r>
      <rPr>
        <b/>
        <vertAlign val="subscript"/>
        <sz val="16"/>
        <color theme="1"/>
        <rFont val="Calibri"/>
        <family val="2"/>
        <scheme val="minor"/>
      </rPr>
      <t>3</t>
    </r>
  </si>
  <si>
    <r>
      <t>L</t>
    </r>
    <r>
      <rPr>
        <vertAlign val="subscript"/>
        <sz val="16"/>
        <color theme="1"/>
        <rFont val="Calibri"/>
        <family val="2"/>
        <scheme val="minor"/>
      </rPr>
      <t>2</t>
    </r>
    <r>
      <rPr>
        <sz val="16"/>
        <color theme="1"/>
        <rFont val="Calibri"/>
        <family val="2"/>
        <scheme val="minor"/>
      </rPr>
      <t xml:space="preserve"> + T</t>
    </r>
    <r>
      <rPr>
        <vertAlign val="subscript"/>
        <sz val="16"/>
        <color theme="1"/>
        <rFont val="Calibri"/>
        <family val="2"/>
        <scheme val="minor"/>
      </rPr>
      <t>2</t>
    </r>
  </si>
  <si>
    <t>First forecast is for period 3</t>
  </si>
  <si>
    <r>
      <t>F</t>
    </r>
    <r>
      <rPr>
        <b/>
        <vertAlign val="subscript"/>
        <sz val="16"/>
        <color theme="1"/>
        <rFont val="Calibri"/>
        <family val="2"/>
        <scheme val="minor"/>
      </rPr>
      <t>2</t>
    </r>
  </si>
  <si>
    <t>Y1</t>
  </si>
  <si>
    <t>First forecast is equal to Y1</t>
  </si>
  <si>
    <t>L</t>
  </si>
  <si>
    <t xml:space="preserve">Forescast Level </t>
  </si>
  <si>
    <t>T</t>
  </si>
  <si>
    <t>Slope (Trend)</t>
  </si>
  <si>
    <t>S</t>
  </si>
  <si>
    <t>Season</t>
  </si>
  <si>
    <r>
      <t>L</t>
    </r>
    <r>
      <rPr>
        <vertAlign val="subscript"/>
        <sz val="16"/>
        <color theme="1"/>
        <rFont val="Calibri"/>
        <family val="2"/>
        <scheme val="minor"/>
      </rPr>
      <t>t</t>
    </r>
    <r>
      <rPr>
        <sz val="16"/>
        <color theme="1"/>
        <rFont val="Calibri"/>
        <family val="2"/>
        <scheme val="minor"/>
      </rPr>
      <t>+T</t>
    </r>
    <r>
      <rPr>
        <vertAlign val="subscript"/>
        <sz val="16"/>
        <color theme="1"/>
        <rFont val="Calibri"/>
        <family val="2"/>
        <scheme val="minor"/>
      </rPr>
      <t>t</t>
    </r>
  </si>
  <si>
    <t>Forecast for the next period</t>
  </si>
  <si>
    <t>Level=exponentially smoothed value for current period</t>
  </si>
  <si>
    <t>Ƴ</t>
  </si>
  <si>
    <t>Gamma, Trend constant</t>
  </si>
  <si>
    <r>
      <t>T</t>
    </r>
    <r>
      <rPr>
        <b/>
        <vertAlign val="subscript"/>
        <sz val="16"/>
        <color theme="1"/>
        <rFont val="Calibri"/>
        <family val="2"/>
        <scheme val="minor"/>
      </rPr>
      <t>t</t>
    </r>
  </si>
  <si>
    <t>Trend = exponentially smoothed value for the slope for current period</t>
  </si>
  <si>
    <r>
      <t>Ƴ(L</t>
    </r>
    <r>
      <rPr>
        <vertAlign val="subscript"/>
        <sz val="16"/>
        <color theme="1"/>
        <rFont val="Calibri"/>
        <family val="2"/>
      </rPr>
      <t>t</t>
    </r>
    <r>
      <rPr>
        <sz val="16"/>
        <color theme="1"/>
        <rFont val="Calibri"/>
        <family val="2"/>
      </rPr>
      <t>-L</t>
    </r>
    <r>
      <rPr>
        <vertAlign val="subscript"/>
        <sz val="16"/>
        <color theme="1"/>
        <rFont val="Calibri"/>
        <family val="2"/>
      </rPr>
      <t>t-1</t>
    </r>
    <r>
      <rPr>
        <sz val="16"/>
        <color theme="1"/>
        <rFont val="Calibri"/>
        <family val="2"/>
      </rPr>
      <t>) + ( 1 - Ƴ ) T</t>
    </r>
    <r>
      <rPr>
        <vertAlign val="subscript"/>
        <sz val="16"/>
        <color theme="1"/>
        <rFont val="Calibri"/>
        <family val="2"/>
      </rPr>
      <t>t-1</t>
    </r>
  </si>
  <si>
    <t>Index</t>
  </si>
  <si>
    <t>CORR Yt &amp; Ft</t>
  </si>
  <si>
    <t>CORR Yt &amp; Ft2</t>
  </si>
  <si>
    <t>(3 Period) 
Ft3</t>
  </si>
  <si>
    <t>CORR Yt &amp; Ft3</t>
  </si>
  <si>
    <t>(2 Period) 
Ft2</t>
  </si>
  <si>
    <t>LMS-Ft3</t>
  </si>
  <si>
    <t>LMS-Ft2</t>
  </si>
  <si>
    <t>MAE-Ft3</t>
  </si>
  <si>
    <t>MAE-Ft2</t>
  </si>
  <si>
    <t>Error-Ft2</t>
  </si>
  <si>
    <t>Error-Ft3</t>
  </si>
  <si>
    <t>2 &amp; 3</t>
  </si>
  <si>
    <t>Periods</t>
  </si>
  <si>
    <t>(Forecast) Ft</t>
  </si>
  <si>
    <t>Error-Ft2 %</t>
  </si>
  <si>
    <t>Error-Ft3 %</t>
  </si>
  <si>
    <t>MAE%-Ft2</t>
  </si>
  <si>
    <t>MAE%-Ft3</t>
  </si>
  <si>
    <t>Next-Period (Ft2)</t>
  </si>
  <si>
    <t>Next-Period (Ft3)</t>
  </si>
  <si>
    <t>Act-Rng</t>
  </si>
  <si>
    <t>Yt-Range</t>
  </si>
  <si>
    <t>Ft2-Range</t>
  </si>
  <si>
    <t>Ft3-Range</t>
  </si>
  <si>
    <t>Data Index</t>
  </si>
  <si>
    <t>Select Data</t>
  </si>
  <si>
    <t>Data Selected</t>
  </si>
  <si>
    <t>Holt's-Winter Tripplr exponential smooothing In PROGRESS</t>
  </si>
  <si>
    <t>MSE</t>
  </si>
  <si>
    <t>MAPE %</t>
  </si>
  <si>
    <t>Selected Data</t>
  </si>
  <si>
    <t>Ft-Range-Graph</t>
  </si>
  <si>
    <t>Ft-Error Range</t>
  </si>
  <si>
    <t>Ft2=Ft1+AlphaX(Yt1-Ft1)</t>
  </si>
  <si>
    <t>Init-Ft1=Actual Yt1</t>
  </si>
  <si>
    <t>Ft3=Yt2*Alpha+(1-Alpha)*Ft2</t>
  </si>
  <si>
    <t>Forecast = Lt + mTt</t>
  </si>
  <si>
    <t>Trend = Beta * (Lt - Lt_1) + (1 - Beta) * Tt_1</t>
  </si>
  <si>
    <t>(Level) 
Lt</t>
  </si>
  <si>
    <t>Level = Alpha * Yt + (1 - Alpha) * Ft</t>
  </si>
  <si>
    <t>Init-Level=Actual Yt1</t>
  </si>
  <si>
    <t>Init Trend=Y2-Y1</t>
  </si>
  <si>
    <t>m=3</t>
  </si>
  <si>
    <t>Cost-yt8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</si>
</sst>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(* #,##0_);_(* \(#,##0\);_(* &quot;-&quot;??_);_(@_)"/>
    <numFmt numFmtId="165" formatCode="0.000"/>
    <numFmt numFmtId="166" formatCode="_-* #,##0_-;\-* #,##0_-;_-* &quot;-&quot;??_-;_-@_-"/>
    <numFmt numFmtId="167" formatCode="_(* #,##0.0_);_(* \(#,##0.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vertAlign val="subscript"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bscript"/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sz val="16"/>
      <color theme="1"/>
      <name val="Calibri"/>
      <family val="2"/>
    </font>
    <font>
      <vertAlign val="subscript"/>
      <sz val="16"/>
      <color theme="1"/>
      <name val="Calibri"/>
      <family val="2"/>
    </font>
    <font>
      <b/>
      <sz val="8"/>
      <color rgb="FF333333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3" fillId="2" borderId="1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3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164" fontId="0" fillId="0" borderId="0" xfId="1" applyNumberFormat="1" applyFont="1" applyAlignment="1">
      <alignment horizontal="center"/>
    </xf>
    <xf numFmtId="164" fontId="0" fillId="0" borderId="0" xfId="0" applyNumberFormat="1"/>
    <xf numFmtId="0" fontId="2" fillId="3" borderId="1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43" fontId="0" fillId="0" borderId="0" xfId="1" applyNumberFormat="1" applyFont="1"/>
    <xf numFmtId="164" fontId="0" fillId="0" borderId="0" xfId="1" applyNumberFormat="1" applyFont="1"/>
    <xf numFmtId="164" fontId="2" fillId="2" borderId="1" xfId="1" applyNumberFormat="1" applyFont="1" applyFill="1" applyBorder="1" applyAlignment="1">
      <alignment horizontal="center" wrapText="1"/>
    </xf>
    <xf numFmtId="164" fontId="0" fillId="4" borderId="0" xfId="1" applyNumberFormat="1" applyFont="1" applyFill="1"/>
    <xf numFmtId="164" fontId="2" fillId="2" borderId="2" xfId="1" applyNumberFormat="1" applyFont="1" applyFill="1" applyBorder="1" applyAlignment="1">
      <alignment horizontal="center" wrapText="1"/>
    </xf>
    <xf numFmtId="10" fontId="0" fillId="0" borderId="0" xfId="2" applyNumberFormat="1" applyFont="1"/>
    <xf numFmtId="10" fontId="0" fillId="0" borderId="0" xfId="0" applyNumberFormat="1"/>
    <xf numFmtId="0" fontId="2" fillId="2" borderId="0" xfId="0" applyFont="1" applyFill="1" applyAlignment="1">
      <alignment horizontal="center" vertical="center"/>
    </xf>
    <xf numFmtId="2" fontId="0" fillId="0" borderId="0" xfId="1" applyNumberFormat="1" applyFont="1" applyAlignment="1">
      <alignment horizontal="center"/>
    </xf>
    <xf numFmtId="0" fontId="6" fillId="5" borderId="1" xfId="0" applyFont="1" applyFill="1" applyBorder="1"/>
    <xf numFmtId="0" fontId="6" fillId="5" borderId="1" xfId="0" applyFont="1" applyFill="1" applyBorder="1" applyAlignment="1"/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6" fillId="0" borderId="1" xfId="0" applyFont="1" applyBorder="1"/>
    <xf numFmtId="0" fontId="8" fillId="0" borderId="1" xfId="0" applyFont="1" applyBorder="1"/>
    <xf numFmtId="0" fontId="10" fillId="2" borderId="1" xfId="0" applyFont="1" applyFill="1" applyBorder="1" applyAlignment="1">
      <alignment horizontal="center"/>
    </xf>
    <xf numFmtId="0" fontId="8" fillId="0" borderId="1" xfId="0" applyFont="1" applyBorder="1" applyAlignment="1">
      <alignment wrapText="1"/>
    </xf>
    <xf numFmtId="0" fontId="11" fillId="2" borderId="1" xfId="0" applyFont="1" applyFill="1" applyBorder="1" applyAlignment="1">
      <alignment horizontal="center"/>
    </xf>
    <xf numFmtId="0" fontId="11" fillId="0" borderId="1" xfId="0" applyFont="1" applyBorder="1"/>
    <xf numFmtId="0" fontId="2" fillId="0" borderId="0" xfId="0" applyFont="1"/>
    <xf numFmtId="0" fontId="2" fillId="0" borderId="0" xfId="0" applyFont="1" applyAlignment="1"/>
    <xf numFmtId="43" fontId="0" fillId="0" borderId="0" xfId="1" applyNumberFormat="1" applyFont="1" applyAlignment="1">
      <alignment horizontal="center"/>
    </xf>
    <xf numFmtId="1" fontId="0" fillId="0" borderId="1" xfId="0" applyNumberFormat="1" applyBorder="1" applyAlignment="1">
      <alignment horizontal="center"/>
    </xf>
    <xf numFmtId="166" fontId="0" fillId="0" borderId="0" xfId="0" applyNumberFormat="1"/>
    <xf numFmtId="0" fontId="2" fillId="3" borderId="0" xfId="0" applyFont="1" applyFill="1" applyBorder="1" applyAlignment="1">
      <alignment horizontal="center" wrapText="1"/>
    </xf>
    <xf numFmtId="0" fontId="2" fillId="6" borderId="0" xfId="0" applyFont="1" applyFill="1"/>
    <xf numFmtId="0" fontId="2" fillId="7" borderId="1" xfId="0" applyFont="1" applyFill="1" applyBorder="1" applyAlignment="1">
      <alignment horizontal="center" wrapText="1"/>
    </xf>
    <xf numFmtId="0" fontId="2" fillId="8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167" fontId="0" fillId="0" borderId="0" xfId="1" applyNumberFormat="1" applyFont="1" applyAlignment="1">
      <alignment horizontal="center"/>
    </xf>
    <xf numFmtId="167" fontId="0" fillId="0" borderId="0" xfId="1" applyNumberFormat="1" applyFont="1"/>
    <xf numFmtId="0" fontId="2" fillId="2" borderId="1" xfId="0" applyFont="1" applyFill="1" applyBorder="1" applyAlignment="1">
      <alignment horizontal="center" vertical="center"/>
    </xf>
    <xf numFmtId="167" fontId="0" fillId="0" borderId="0" xfId="0" applyNumberFormat="1"/>
    <xf numFmtId="43" fontId="0" fillId="0" borderId="0" xfId="0" applyNumberFormat="1"/>
    <xf numFmtId="2" fontId="0" fillId="0" borderId="1" xfId="1" applyNumberFormat="1" applyFon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43" fontId="0" fillId="0" borderId="1" xfId="0" applyNumberFormat="1" applyBorder="1"/>
    <xf numFmtId="10" fontId="0" fillId="0" borderId="1" xfId="0" applyNumberFormat="1" applyBorder="1"/>
    <xf numFmtId="2" fontId="2" fillId="2" borderId="1" xfId="1" applyNumberFormat="1" applyFont="1" applyFill="1" applyBorder="1" applyAlignment="1">
      <alignment horizontal="center" wrapText="1"/>
    </xf>
    <xf numFmtId="2" fontId="2" fillId="2" borderId="1" xfId="0" applyNumberFormat="1" applyFont="1" applyFill="1" applyBorder="1" applyAlignment="1">
      <alignment horizontal="center" wrapText="1"/>
    </xf>
    <xf numFmtId="0" fontId="2" fillId="9" borderId="3" xfId="0" applyFont="1" applyFill="1" applyBorder="1" applyAlignment="1">
      <alignment horizontal="left"/>
    </xf>
    <xf numFmtId="0" fontId="0" fillId="9" borderId="0" xfId="0" applyFill="1"/>
    <xf numFmtId="0" fontId="2" fillId="9" borderId="0" xfId="0" applyFont="1" applyFill="1"/>
    <xf numFmtId="10" fontId="0" fillId="0" borderId="0" xfId="1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Moving Averages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Yt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MA_Model!$B$6:$B$22</c:f>
              <c:numCache>
                <c:formatCode>_(* #,##0_);_(* \(#,##0\);_(* "-"??_);_(@_)</c:formatCode>
                <c:ptCount val="17"/>
                <c:pt idx="0">
                  <c:v>213078</c:v>
                </c:pt>
                <c:pt idx="1">
                  <c:v>240858</c:v>
                </c:pt>
                <c:pt idx="2">
                  <c:v>282563.70000000007</c:v>
                </c:pt>
                <c:pt idx="3">
                  <c:v>227827.1</c:v>
                </c:pt>
                <c:pt idx="4">
                  <c:v>294816</c:v>
                </c:pt>
                <c:pt idx="5">
                  <c:v>359881</c:v>
                </c:pt>
                <c:pt idx="6">
                  <c:v>283609.2</c:v>
                </c:pt>
                <c:pt idx="7">
                  <c:v>303780.11</c:v>
                </c:pt>
                <c:pt idx="8">
                  <c:v>360843.95</c:v>
                </c:pt>
                <c:pt idx="9">
                  <c:v>303033.69999999995</c:v>
                </c:pt>
                <c:pt idx="10">
                  <c:v>314587.2</c:v>
                </c:pt>
                <c:pt idx="11">
                  <c:v>372885.8</c:v>
                </c:pt>
                <c:pt idx="12">
                  <c:v>306537.53999999998</c:v>
                </c:pt>
                <c:pt idx="13">
                  <c:v>289441.90000000002</c:v>
                </c:pt>
                <c:pt idx="14">
                  <c:v>324311.09999999998</c:v>
                </c:pt>
                <c:pt idx="15">
                  <c:v>284183.09999999998</c:v>
                </c:pt>
                <c:pt idx="16">
                  <c:v>274069.5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8A-45E3-9BBA-36DC6D406023}"/>
            </c:ext>
          </c:extLst>
        </c:ser>
        <c:ser>
          <c:idx val="0"/>
          <c:order val="1"/>
          <c:tx>
            <c:v>Ft2</c:v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MA_Model!$C$6:$C$22</c:f>
              <c:numCache>
                <c:formatCode>_(* #,##0_);_(* \(#,##0\);_(* "-"??_);_(@_)</c:formatCode>
                <c:ptCount val="17"/>
                <c:pt idx="1">
                  <c:v>226968</c:v>
                </c:pt>
                <c:pt idx="2">
                  <c:v>261710.85000000003</c:v>
                </c:pt>
                <c:pt idx="3">
                  <c:v>255195.40000000002</c:v>
                </c:pt>
                <c:pt idx="4">
                  <c:v>261321.55</c:v>
                </c:pt>
                <c:pt idx="5">
                  <c:v>327348.5</c:v>
                </c:pt>
                <c:pt idx="6">
                  <c:v>321745.09999999998</c:v>
                </c:pt>
                <c:pt idx="7">
                  <c:v>293694.65500000003</c:v>
                </c:pt>
                <c:pt idx="8">
                  <c:v>332312.03000000003</c:v>
                </c:pt>
                <c:pt idx="9">
                  <c:v>331938.82499999995</c:v>
                </c:pt>
                <c:pt idx="10">
                  <c:v>308810.44999999995</c:v>
                </c:pt>
                <c:pt idx="11">
                  <c:v>343736.5</c:v>
                </c:pt>
                <c:pt idx="12">
                  <c:v>339711.67</c:v>
                </c:pt>
                <c:pt idx="13">
                  <c:v>297989.71999999997</c:v>
                </c:pt>
                <c:pt idx="14">
                  <c:v>306876.5</c:v>
                </c:pt>
                <c:pt idx="15">
                  <c:v>304247.09999999998</c:v>
                </c:pt>
                <c:pt idx="16">
                  <c:v>279126.3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8A-45E3-9BBA-36DC6D406023}"/>
            </c:ext>
          </c:extLst>
        </c:ser>
        <c:ser>
          <c:idx val="2"/>
          <c:order val="2"/>
          <c:tx>
            <c:v>Ft3</c:v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MA_Model!$D$6:$D$22</c:f>
              <c:numCache>
                <c:formatCode>_(* #,##0_);_(* \(#,##0\);_(* "-"??_);_(@_)</c:formatCode>
                <c:ptCount val="17"/>
                <c:pt idx="2" formatCode="_(* #,##0.00_);_(* \(#,##0.00\);_(* &quot;-&quot;??_);_(@_)">
                  <c:v>245499.90000000002</c:v>
                </c:pt>
                <c:pt idx="3" formatCode="_(* #,##0.00_);_(* \(#,##0.00\);_(* &quot;-&quot;??_);_(@_)">
                  <c:v>250416.26666666669</c:v>
                </c:pt>
                <c:pt idx="4" formatCode="_(* #,##0.00_);_(* \(#,##0.00\);_(* &quot;-&quot;??_);_(@_)">
                  <c:v>268402.26666666666</c:v>
                </c:pt>
                <c:pt idx="5" formatCode="_(* #,##0.00_);_(* \(#,##0.00\);_(* &quot;-&quot;??_);_(@_)">
                  <c:v>294174.7</c:v>
                </c:pt>
                <c:pt idx="6" formatCode="_(* #,##0.00_);_(* \(#,##0.00\);_(* &quot;-&quot;??_);_(@_)">
                  <c:v>312768.73333333334</c:v>
                </c:pt>
                <c:pt idx="7" formatCode="_(* #,##0.00_);_(* \(#,##0.00\);_(* &quot;-&quot;??_);_(@_)">
                  <c:v>315756.76999999996</c:v>
                </c:pt>
                <c:pt idx="8" formatCode="_(* #,##0.00_);_(* \(#,##0.00\);_(* &quot;-&quot;??_);_(@_)">
                  <c:v>316077.75333333336</c:v>
                </c:pt>
                <c:pt idx="9" formatCode="_(* #,##0.00_);_(* \(#,##0.00\);_(* &quot;-&quot;??_);_(@_)">
                  <c:v>322552.58666666667</c:v>
                </c:pt>
                <c:pt idx="10" formatCode="_(* #,##0.00_);_(* \(#,##0.00\);_(* &quot;-&quot;??_);_(@_)">
                  <c:v>326154.94999999995</c:v>
                </c:pt>
                <c:pt idx="11" formatCode="_(* #,##0.00_);_(* \(#,##0.00\);_(* &quot;-&quot;??_);_(@_)">
                  <c:v>330168.89999999997</c:v>
                </c:pt>
                <c:pt idx="12" formatCode="_(* #,##0.00_);_(* \(#,##0.00\);_(* &quot;-&quot;??_);_(@_)">
                  <c:v>331336.84666666668</c:v>
                </c:pt>
                <c:pt idx="13" formatCode="_(* #,##0.00_);_(* \(#,##0.00\);_(* &quot;-&quot;??_);_(@_)">
                  <c:v>322955.08</c:v>
                </c:pt>
                <c:pt idx="14" formatCode="_(* #,##0.00_);_(* \(#,##0.00\);_(* &quot;-&quot;??_);_(@_)">
                  <c:v>306763.51333333331</c:v>
                </c:pt>
                <c:pt idx="15" formatCode="_(* #,##0.00_);_(* \(#,##0.00\);_(* &quot;-&quot;??_);_(@_)">
                  <c:v>299312.03333333333</c:v>
                </c:pt>
                <c:pt idx="16" formatCode="_(* #,##0.00_);_(* \(#,##0.00\);_(* &quot;-&quot;??_);_(@_)">
                  <c:v>294187.89999999997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8-4CCD-A846-168EE24C2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102232"/>
        <c:axId val="545103544"/>
      </c:lineChart>
      <c:catAx>
        <c:axId val="545102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03544"/>
        <c:crosses val="autoZero"/>
        <c:auto val="1"/>
        <c:lblAlgn val="ctr"/>
        <c:lblOffset val="100"/>
        <c:noMultiLvlLbl val="0"/>
      </c:catAx>
      <c:valAx>
        <c:axId val="54510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0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Single Exponential Smoothing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Yt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SES_Model_Eq1!$B$6:$B$22</c:f>
              <c:numCache>
                <c:formatCode>0.00</c:formatCode>
                <c:ptCount val="17"/>
                <c:pt idx="0">
                  <c:v>213078</c:v>
                </c:pt>
                <c:pt idx="1">
                  <c:v>240858</c:v>
                </c:pt>
                <c:pt idx="2">
                  <c:v>282563.70000000007</c:v>
                </c:pt>
                <c:pt idx="3">
                  <c:v>227827.1</c:v>
                </c:pt>
                <c:pt idx="4">
                  <c:v>294816</c:v>
                </c:pt>
                <c:pt idx="5">
                  <c:v>359881</c:v>
                </c:pt>
                <c:pt idx="6">
                  <c:v>283609.2</c:v>
                </c:pt>
                <c:pt idx="7">
                  <c:v>303780.11</c:v>
                </c:pt>
                <c:pt idx="8">
                  <c:v>360843.95</c:v>
                </c:pt>
                <c:pt idx="9">
                  <c:v>303033.69999999995</c:v>
                </c:pt>
                <c:pt idx="10">
                  <c:v>314587.2</c:v>
                </c:pt>
                <c:pt idx="11">
                  <c:v>372885.8</c:v>
                </c:pt>
                <c:pt idx="12">
                  <c:v>306537.53999999998</c:v>
                </c:pt>
                <c:pt idx="13">
                  <c:v>289441.90000000002</c:v>
                </c:pt>
                <c:pt idx="14">
                  <c:v>324311.09999999998</c:v>
                </c:pt>
                <c:pt idx="15">
                  <c:v>284183.09999999998</c:v>
                </c:pt>
                <c:pt idx="16">
                  <c:v>274069.5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2-4908-B16F-9BB48A0E99DF}"/>
            </c:ext>
          </c:extLst>
        </c:ser>
        <c:ser>
          <c:idx val="2"/>
          <c:order val="1"/>
          <c:tx>
            <c:v>Ft</c:v>
          </c:tx>
          <c:spPr>
            <a:ln w="285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SES_Model_Eq1!$C$7:$C$23</c:f>
              <c:numCache>
                <c:formatCode>0.00</c:formatCode>
                <c:ptCount val="17"/>
                <c:pt idx="0">
                  <c:v>213078</c:v>
                </c:pt>
                <c:pt idx="1">
                  <c:v>218634</c:v>
                </c:pt>
                <c:pt idx="2">
                  <c:v>231419.94</c:v>
                </c:pt>
                <c:pt idx="3">
                  <c:v>230701.372</c:v>
                </c:pt>
                <c:pt idx="4">
                  <c:v>243524.29759999999</c:v>
                </c:pt>
                <c:pt idx="5">
                  <c:v>266795.63808</c:v>
                </c:pt>
                <c:pt idx="6">
                  <c:v>270158.35046400002</c:v>
                </c:pt>
                <c:pt idx="7">
                  <c:v>276882.70237120002</c:v>
                </c:pt>
                <c:pt idx="8">
                  <c:v>293674.95189696003</c:v>
                </c:pt>
                <c:pt idx="9">
                  <c:v>295546.70151756803</c:v>
                </c:pt>
                <c:pt idx="10">
                  <c:v>299354.8012140544</c:v>
                </c:pt>
                <c:pt idx="11">
                  <c:v>314061.00097124354</c:v>
                </c:pt>
                <c:pt idx="12">
                  <c:v>312556.30877699482</c:v>
                </c:pt>
                <c:pt idx="13">
                  <c:v>307933.42702159588</c:v>
                </c:pt>
                <c:pt idx="14">
                  <c:v>311208.96161727671</c:v>
                </c:pt>
                <c:pt idx="15">
                  <c:v>305803.78929382138</c:v>
                </c:pt>
                <c:pt idx="16">
                  <c:v>299456.93143505708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12-4908-B16F-9BB48A0E9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102232"/>
        <c:axId val="545103544"/>
      </c:lineChart>
      <c:catAx>
        <c:axId val="545102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03544"/>
        <c:crosses val="autoZero"/>
        <c:auto val="1"/>
        <c:lblAlgn val="ctr"/>
        <c:lblOffset val="100"/>
        <c:noMultiLvlLbl val="0"/>
      </c:catAx>
      <c:valAx>
        <c:axId val="54510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0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Single Exponential Smoothing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Yt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SES_Model_Eq2!$B$6:$B$22</c:f>
              <c:numCache>
                <c:formatCode>0.00</c:formatCode>
                <c:ptCount val="17"/>
                <c:pt idx="0">
                  <c:v>213078</c:v>
                </c:pt>
                <c:pt idx="1">
                  <c:v>240858</c:v>
                </c:pt>
                <c:pt idx="2">
                  <c:v>282563.70000000007</c:v>
                </c:pt>
                <c:pt idx="3">
                  <c:v>227827.1</c:v>
                </c:pt>
                <c:pt idx="4">
                  <c:v>294816</c:v>
                </c:pt>
                <c:pt idx="5">
                  <c:v>359881</c:v>
                </c:pt>
                <c:pt idx="6">
                  <c:v>283609.2</c:v>
                </c:pt>
                <c:pt idx="7">
                  <c:v>303780.11</c:v>
                </c:pt>
                <c:pt idx="8">
                  <c:v>360843.95</c:v>
                </c:pt>
                <c:pt idx="9">
                  <c:v>303033.69999999995</c:v>
                </c:pt>
                <c:pt idx="10">
                  <c:v>314587.2</c:v>
                </c:pt>
                <c:pt idx="11">
                  <c:v>372885.8</c:v>
                </c:pt>
                <c:pt idx="12">
                  <c:v>306537.53999999998</c:v>
                </c:pt>
                <c:pt idx="13">
                  <c:v>289441.90000000002</c:v>
                </c:pt>
                <c:pt idx="14">
                  <c:v>324311.09999999998</c:v>
                </c:pt>
                <c:pt idx="15">
                  <c:v>284183.09999999998</c:v>
                </c:pt>
                <c:pt idx="16">
                  <c:v>274069.5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E-454F-8BC4-0D95070E583F}"/>
            </c:ext>
          </c:extLst>
        </c:ser>
        <c:ser>
          <c:idx val="2"/>
          <c:order val="1"/>
          <c:tx>
            <c:v>Ft</c:v>
          </c:tx>
          <c:spPr>
            <a:ln w="285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SES_Model_Eq2!$C$7:$C$23</c:f>
              <c:numCache>
                <c:formatCode>0.00</c:formatCode>
                <c:ptCount val="17"/>
                <c:pt idx="0">
                  <c:v>213078</c:v>
                </c:pt>
                <c:pt idx="1">
                  <c:v>218634.00000000003</c:v>
                </c:pt>
                <c:pt idx="2">
                  <c:v>231419.94000000006</c:v>
                </c:pt>
                <c:pt idx="3">
                  <c:v>230701.37200000006</c:v>
                </c:pt>
                <c:pt idx="4">
                  <c:v>243524.29760000008</c:v>
                </c:pt>
                <c:pt idx="5">
                  <c:v>266795.63808000006</c:v>
                </c:pt>
                <c:pt idx="6">
                  <c:v>270158.35046400008</c:v>
                </c:pt>
                <c:pt idx="7">
                  <c:v>276882.70237120008</c:v>
                </c:pt>
                <c:pt idx="8">
                  <c:v>293674.95189696009</c:v>
                </c:pt>
                <c:pt idx="9">
                  <c:v>295546.70151756809</c:v>
                </c:pt>
                <c:pt idx="10">
                  <c:v>299354.80121405446</c:v>
                </c:pt>
                <c:pt idx="11">
                  <c:v>314061.0009712436</c:v>
                </c:pt>
                <c:pt idx="12">
                  <c:v>312556.30877699493</c:v>
                </c:pt>
                <c:pt idx="13">
                  <c:v>307933.427021596</c:v>
                </c:pt>
                <c:pt idx="14">
                  <c:v>311208.96161727677</c:v>
                </c:pt>
                <c:pt idx="15">
                  <c:v>305803.78929382144</c:v>
                </c:pt>
                <c:pt idx="16">
                  <c:v>299456.93143505719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E-454F-8BC4-0D95070E5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102232"/>
        <c:axId val="545103544"/>
      </c:lineChart>
      <c:catAx>
        <c:axId val="545102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03544"/>
        <c:crosses val="autoZero"/>
        <c:auto val="1"/>
        <c:lblAlgn val="ctr"/>
        <c:lblOffset val="100"/>
        <c:noMultiLvlLbl val="0"/>
      </c:catAx>
      <c:valAx>
        <c:axId val="54510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0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Holt Double Exponential Smoothing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Yt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Holt_Model!$B$6:$B$22</c:f>
              <c:numCache>
                <c:formatCode>_(* #,##0.0_);_(* \(#,##0.0\);_(* "-"??_);_(@_)</c:formatCode>
                <c:ptCount val="17"/>
                <c:pt idx="0">
                  <c:v>213078</c:v>
                </c:pt>
                <c:pt idx="1">
                  <c:v>240858</c:v>
                </c:pt>
                <c:pt idx="2">
                  <c:v>282563.70000000007</c:v>
                </c:pt>
                <c:pt idx="3">
                  <c:v>227827.1</c:v>
                </c:pt>
                <c:pt idx="4">
                  <c:v>294816</c:v>
                </c:pt>
                <c:pt idx="5">
                  <c:v>359881</c:v>
                </c:pt>
                <c:pt idx="6">
                  <c:v>283609.2</c:v>
                </c:pt>
                <c:pt idx="7">
                  <c:v>303780.11</c:v>
                </c:pt>
                <c:pt idx="8">
                  <c:v>360843.95</c:v>
                </c:pt>
                <c:pt idx="9">
                  <c:v>303033.69999999995</c:v>
                </c:pt>
                <c:pt idx="10">
                  <c:v>314587.2</c:v>
                </c:pt>
                <c:pt idx="11">
                  <c:v>372885.8</c:v>
                </c:pt>
                <c:pt idx="12">
                  <c:v>306537.53999999998</c:v>
                </c:pt>
                <c:pt idx="13">
                  <c:v>289441.90000000002</c:v>
                </c:pt>
                <c:pt idx="14">
                  <c:v>324311.09999999998</c:v>
                </c:pt>
                <c:pt idx="15">
                  <c:v>284183.09999999998</c:v>
                </c:pt>
                <c:pt idx="16">
                  <c:v>274069.5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DC-416B-B75D-39E39A262FD8}"/>
            </c:ext>
          </c:extLst>
        </c:ser>
        <c:ser>
          <c:idx val="2"/>
          <c:order val="1"/>
          <c:tx>
            <c:v>Ft</c:v>
          </c:tx>
          <c:spPr>
            <a:ln w="28575" cap="rnd">
              <a:solidFill>
                <a:sysClr val="windowText" lastClr="00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Holt_Model!$C$7:$C$23</c:f>
              <c:numCache>
                <c:formatCode>0.00</c:formatCode>
                <c:ptCount val="17"/>
                <c:pt idx="0">
                  <c:v>213078</c:v>
                </c:pt>
                <c:pt idx="1">
                  <c:v>240858</c:v>
                </c:pt>
                <c:pt idx="2">
                  <c:v>275600.85000000003</c:v>
                </c:pt>
                <c:pt idx="3">
                  <c:v>265854.63760000002</c:v>
                </c:pt>
                <c:pt idx="4">
                  <c:v>293106.99004639999</c:v>
                </c:pt>
                <c:pt idx="5">
                  <c:v>339327.19062792964</c:v>
                </c:pt>
                <c:pt idx="6">
                  <c:v>325041.328056089</c:v>
                </c:pt>
                <c:pt idx="7">
                  <c:v>326492.29516014946</c:v>
                </c:pt>
                <c:pt idx="8">
                  <c:v>354932.06004641426</c:v>
                </c:pt>
                <c:pt idx="9">
                  <c:v>340459.64552787575</c:v>
                </c:pt>
                <c:pt idx="10">
                  <c:v>337652.85422960296</c:v>
                </c:pt>
                <c:pt idx="11">
                  <c:v>364568.39502820087</c:v>
                </c:pt>
                <c:pt idx="12">
                  <c:v>345151.46200648462</c:v>
                </c:pt>
                <c:pt idx="13">
                  <c:v>325505.07430339302</c:v>
                </c:pt>
                <c:pt idx="14">
                  <c:v>331818.2061769251</c:v>
                </c:pt>
                <c:pt idx="15">
                  <c:v>314640.51629132184</c:v>
                </c:pt>
                <c:pt idx="16">
                  <c:v>299898.4043620326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DC-416B-B75D-39E39A262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102232"/>
        <c:axId val="545103544"/>
      </c:lineChart>
      <c:catAx>
        <c:axId val="545102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03544"/>
        <c:crosses val="autoZero"/>
        <c:auto val="1"/>
        <c:lblAlgn val="ctr"/>
        <c:lblOffset val="100"/>
        <c:noMultiLvlLbl val="0"/>
      </c:catAx>
      <c:valAx>
        <c:axId val="54510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0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</a:t>
          </a:r>
        </a:p>
      </cx:txPr>
    </cx:title>
    <cx:plotArea>
      <cx:plotAreaRegion>
        <cx:series layoutId="clusteredColumn" uniqueId="{04FE1C03-4364-406E-A8D9-AB24B12D26E7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</xdr:row>
      <xdr:rowOff>0</xdr:rowOff>
    </xdr:from>
    <xdr:to>
      <xdr:col>28</xdr:col>
      <xdr:colOff>548640</xdr:colOff>
      <xdr:row>19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5</xdr:row>
      <xdr:rowOff>7620</xdr:rowOff>
    </xdr:from>
    <xdr:to>
      <xdr:col>22</xdr:col>
      <xdr:colOff>30480</xdr:colOff>
      <xdr:row>27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16</xdr:col>
      <xdr:colOff>525780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A9F8B9-7E23-43BF-BD3C-DA76773D4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16</xdr:col>
      <xdr:colOff>525780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335280</xdr:colOff>
      <xdr:row>4</xdr:row>
      <xdr:rowOff>350520</xdr:rowOff>
    </xdr:from>
    <xdr:to>
      <xdr:col>18</xdr:col>
      <xdr:colOff>251460</xdr:colOff>
      <xdr:row>27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6"/>
  <sheetViews>
    <sheetView tabSelected="1" topLeftCell="A25" workbookViewId="0">
      <selection activeCell="C23" sqref="C23"/>
    </sheetView>
  </sheetViews>
  <sheetFormatPr defaultRowHeight="15" x14ac:dyDescent="0.25"/>
  <cols>
    <col min="1" max="1" width="8.85546875" style="31"/>
    <col min="2" max="2" width="2" style="32" bestFit="1" customWidth="1"/>
    <col min="3" max="3" width="69.42578125" customWidth="1"/>
    <col min="4" max="4" width="89.42578125" customWidth="1"/>
  </cols>
  <sheetData>
    <row r="1" spans="1:4" ht="21" x14ac:dyDescent="0.35">
      <c r="A1" s="21" t="s">
        <v>8</v>
      </c>
      <c r="B1" s="22"/>
      <c r="C1" s="21" t="s">
        <v>9</v>
      </c>
      <c r="D1" s="21" t="s">
        <v>10</v>
      </c>
    </row>
    <row r="2" spans="1:4" ht="24" x14ac:dyDescent="0.45">
      <c r="A2" s="23" t="s">
        <v>11</v>
      </c>
      <c r="B2" s="24" t="s">
        <v>12</v>
      </c>
      <c r="C2" s="25" t="s">
        <v>13</v>
      </c>
      <c r="D2" s="25"/>
    </row>
    <row r="3" spans="1:4" ht="21" x14ac:dyDescent="0.35">
      <c r="A3" s="23" t="s">
        <v>11</v>
      </c>
      <c r="B3" s="24" t="s">
        <v>12</v>
      </c>
      <c r="C3" s="25" t="s">
        <v>14</v>
      </c>
      <c r="D3" s="26"/>
    </row>
    <row r="4" spans="1:4" ht="24" x14ac:dyDescent="0.45">
      <c r="A4" s="23" t="s">
        <v>15</v>
      </c>
      <c r="B4" s="24" t="s">
        <v>12</v>
      </c>
      <c r="C4" s="25" t="s">
        <v>16</v>
      </c>
      <c r="D4" s="26"/>
    </row>
    <row r="5" spans="1:4" ht="24" x14ac:dyDescent="0.45">
      <c r="A5" s="23" t="s">
        <v>17</v>
      </c>
      <c r="B5" s="24" t="s">
        <v>12</v>
      </c>
      <c r="C5" s="25" t="s">
        <v>18</v>
      </c>
      <c r="D5" s="26"/>
    </row>
    <row r="6" spans="1:4" ht="21" x14ac:dyDescent="0.35">
      <c r="A6" s="23" t="s">
        <v>19</v>
      </c>
      <c r="B6" s="24" t="s">
        <v>12</v>
      </c>
      <c r="C6" s="25" t="s">
        <v>20</v>
      </c>
      <c r="D6" s="26"/>
    </row>
    <row r="7" spans="1:4" ht="21" x14ac:dyDescent="0.35">
      <c r="A7" s="23" t="s">
        <v>21</v>
      </c>
      <c r="B7" s="24" t="s">
        <v>12</v>
      </c>
      <c r="C7" s="25" t="s">
        <v>22</v>
      </c>
      <c r="D7" s="26"/>
    </row>
    <row r="8" spans="1:4" ht="21" x14ac:dyDescent="0.35">
      <c r="A8" s="21" t="s">
        <v>8</v>
      </c>
      <c r="B8" s="22"/>
      <c r="C8" s="21" t="s">
        <v>9</v>
      </c>
      <c r="D8" s="21" t="s">
        <v>23</v>
      </c>
    </row>
    <row r="9" spans="1:4" ht="24" x14ac:dyDescent="0.45">
      <c r="A9" s="23" t="s">
        <v>24</v>
      </c>
      <c r="B9" s="24" t="s">
        <v>12</v>
      </c>
      <c r="C9" s="26" t="s">
        <v>25</v>
      </c>
      <c r="D9" s="26" t="s">
        <v>26</v>
      </c>
    </row>
    <row r="10" spans="1:4" ht="24" x14ac:dyDescent="0.45">
      <c r="A10" s="23" t="s">
        <v>27</v>
      </c>
      <c r="B10" s="24" t="s">
        <v>12</v>
      </c>
      <c r="C10" s="26" t="s">
        <v>28</v>
      </c>
      <c r="D10" s="26" t="s">
        <v>29</v>
      </c>
    </row>
    <row r="11" spans="1:4" ht="21" x14ac:dyDescent="0.35">
      <c r="A11" s="27" t="s">
        <v>30</v>
      </c>
      <c r="B11" s="24" t="s">
        <v>12</v>
      </c>
      <c r="C11" s="26" t="s">
        <v>31</v>
      </c>
      <c r="D11" s="26" t="s">
        <v>32</v>
      </c>
    </row>
    <row r="12" spans="1:4" ht="24" x14ac:dyDescent="0.45">
      <c r="A12" s="23" t="s">
        <v>33</v>
      </c>
      <c r="B12" s="24" t="s">
        <v>12</v>
      </c>
      <c r="C12" s="26" t="s">
        <v>34</v>
      </c>
      <c r="D12" s="26" t="s">
        <v>35</v>
      </c>
    </row>
    <row r="13" spans="1:4" ht="24" x14ac:dyDescent="0.45">
      <c r="A13" s="23" t="s">
        <v>33</v>
      </c>
      <c r="B13" s="24" t="s">
        <v>12</v>
      </c>
      <c r="C13" s="26" t="s">
        <v>36</v>
      </c>
      <c r="D13" s="26"/>
    </row>
    <row r="14" spans="1:4" ht="24" x14ac:dyDescent="0.45">
      <c r="A14" s="23" t="s">
        <v>37</v>
      </c>
      <c r="B14" s="24" t="s">
        <v>12</v>
      </c>
      <c r="C14" s="26" t="s">
        <v>38</v>
      </c>
      <c r="D14" s="26" t="s">
        <v>39</v>
      </c>
    </row>
    <row r="15" spans="1:4" ht="43.5" x14ac:dyDescent="0.45">
      <c r="A15" s="23" t="s">
        <v>33</v>
      </c>
      <c r="B15" s="24" t="s">
        <v>12</v>
      </c>
      <c r="C15" s="26" t="s">
        <v>40</v>
      </c>
      <c r="D15" s="28" t="s">
        <v>41</v>
      </c>
    </row>
    <row r="16" spans="1:4" ht="24" x14ac:dyDescent="0.45">
      <c r="A16" s="23" t="s">
        <v>7</v>
      </c>
      <c r="B16" s="24" t="s">
        <v>12</v>
      </c>
      <c r="C16" s="26" t="s">
        <v>42</v>
      </c>
      <c r="D16" s="28" t="s">
        <v>43</v>
      </c>
    </row>
    <row r="17" spans="1:4" ht="24" x14ac:dyDescent="0.45">
      <c r="A17" s="23" t="s">
        <v>44</v>
      </c>
      <c r="B17" s="24" t="s">
        <v>12</v>
      </c>
      <c r="C17" s="26" t="s">
        <v>45</v>
      </c>
      <c r="D17" s="28" t="s">
        <v>46</v>
      </c>
    </row>
    <row r="18" spans="1:4" ht="21" x14ac:dyDescent="0.35">
      <c r="A18" s="21" t="s">
        <v>8</v>
      </c>
      <c r="B18" s="22"/>
      <c r="C18" s="21" t="s">
        <v>9</v>
      </c>
      <c r="D18" s="21" t="s">
        <v>47</v>
      </c>
    </row>
    <row r="19" spans="1:4" ht="24" x14ac:dyDescent="0.45">
      <c r="A19" s="23" t="s">
        <v>24</v>
      </c>
      <c r="B19" s="24" t="s">
        <v>12</v>
      </c>
      <c r="C19" s="26" t="s">
        <v>25</v>
      </c>
      <c r="D19" s="26" t="s">
        <v>26</v>
      </c>
    </row>
    <row r="20" spans="1:4" ht="21" x14ac:dyDescent="0.35">
      <c r="A20" s="27" t="s">
        <v>30</v>
      </c>
      <c r="B20" s="24" t="s">
        <v>12</v>
      </c>
      <c r="C20" s="26" t="s">
        <v>31</v>
      </c>
      <c r="D20" s="26" t="s">
        <v>32</v>
      </c>
    </row>
    <row r="21" spans="1:4" ht="21" x14ac:dyDescent="0.35">
      <c r="A21" s="27" t="s">
        <v>48</v>
      </c>
      <c r="B21" s="24" t="s">
        <v>12</v>
      </c>
      <c r="C21" s="26" t="s">
        <v>49</v>
      </c>
      <c r="D21" s="26" t="s">
        <v>50</v>
      </c>
    </row>
    <row r="22" spans="1:4" ht="24" x14ac:dyDescent="0.45">
      <c r="A22" s="23" t="s">
        <v>51</v>
      </c>
      <c r="B22" s="24" t="s">
        <v>12</v>
      </c>
      <c r="C22" s="26" t="s">
        <v>52</v>
      </c>
      <c r="D22" s="26" t="s">
        <v>53</v>
      </c>
    </row>
    <row r="23" spans="1:4" ht="24" x14ac:dyDescent="0.45">
      <c r="A23" s="23" t="s">
        <v>54</v>
      </c>
      <c r="B23" s="24" t="s">
        <v>12</v>
      </c>
      <c r="C23" s="26" t="s">
        <v>55</v>
      </c>
      <c r="D23" s="26" t="s">
        <v>56</v>
      </c>
    </row>
    <row r="24" spans="1:4" ht="24" x14ac:dyDescent="0.45">
      <c r="A24" s="23" t="s">
        <v>57</v>
      </c>
      <c r="B24" s="24" t="s">
        <v>12</v>
      </c>
      <c r="C24" s="26" t="s">
        <v>58</v>
      </c>
      <c r="D24" s="26" t="s">
        <v>59</v>
      </c>
    </row>
    <row r="25" spans="1:4" ht="43.5" x14ac:dyDescent="0.45">
      <c r="A25" s="23" t="s">
        <v>60</v>
      </c>
      <c r="B25" s="24" t="s">
        <v>12</v>
      </c>
      <c r="C25" s="26" t="s">
        <v>61</v>
      </c>
      <c r="D25" s="28" t="s">
        <v>62</v>
      </c>
    </row>
    <row r="26" spans="1:4" ht="43.5" x14ac:dyDescent="0.45">
      <c r="A26" s="23" t="s">
        <v>63</v>
      </c>
      <c r="B26" s="24" t="s">
        <v>12</v>
      </c>
      <c r="C26" s="26" t="s">
        <v>64</v>
      </c>
      <c r="D26" s="28" t="s">
        <v>65</v>
      </c>
    </row>
    <row r="27" spans="1:4" ht="24" x14ac:dyDescent="0.45">
      <c r="A27" s="23" t="s">
        <v>66</v>
      </c>
      <c r="B27" s="24" t="s">
        <v>12</v>
      </c>
      <c r="C27" s="26" t="s">
        <v>67</v>
      </c>
      <c r="D27" s="26" t="s">
        <v>68</v>
      </c>
    </row>
    <row r="28" spans="1:4" ht="24" x14ac:dyDescent="0.45">
      <c r="A28" s="23" t="s">
        <v>69</v>
      </c>
      <c r="B28" s="24" t="s">
        <v>12</v>
      </c>
      <c r="C28" s="26" t="s">
        <v>70</v>
      </c>
      <c r="D28" s="26" t="s">
        <v>71</v>
      </c>
    </row>
    <row r="29" spans="1:4" ht="21" x14ac:dyDescent="0.35">
      <c r="A29" s="21" t="s">
        <v>8</v>
      </c>
      <c r="B29" s="22"/>
      <c r="C29" s="21" t="s">
        <v>9</v>
      </c>
      <c r="D29" s="21" t="s">
        <v>114</v>
      </c>
    </row>
    <row r="30" spans="1:4" ht="21" x14ac:dyDescent="0.35">
      <c r="A30" s="23" t="s">
        <v>24</v>
      </c>
      <c r="B30" s="24" t="s">
        <v>12</v>
      </c>
      <c r="C30" s="26" t="s">
        <v>25</v>
      </c>
      <c r="D30" s="26"/>
    </row>
    <row r="31" spans="1:4" ht="21" x14ac:dyDescent="0.35">
      <c r="A31" s="23" t="s">
        <v>72</v>
      </c>
      <c r="B31" s="24" t="s">
        <v>12</v>
      </c>
      <c r="C31" s="26" t="s">
        <v>73</v>
      </c>
      <c r="D31" s="26"/>
    </row>
    <row r="32" spans="1:4" ht="21" x14ac:dyDescent="0.35">
      <c r="A32" s="23" t="s">
        <v>74</v>
      </c>
      <c r="B32" s="24" t="s">
        <v>12</v>
      </c>
      <c r="C32" s="26" t="s">
        <v>75</v>
      </c>
      <c r="D32" s="26"/>
    </row>
    <row r="33" spans="1:4" ht="21" x14ac:dyDescent="0.35">
      <c r="A33" s="23" t="s">
        <v>76</v>
      </c>
      <c r="B33" s="24" t="s">
        <v>12</v>
      </c>
      <c r="C33" s="26" t="s">
        <v>77</v>
      </c>
      <c r="D33" s="26"/>
    </row>
    <row r="34" spans="1:4" ht="21" x14ac:dyDescent="0.35">
      <c r="A34" s="23" t="s">
        <v>27</v>
      </c>
      <c r="B34" s="24" t="s">
        <v>12</v>
      </c>
      <c r="C34" s="26" t="s">
        <v>28</v>
      </c>
      <c r="D34" s="26"/>
    </row>
    <row r="35" spans="1:4" ht="24" x14ac:dyDescent="0.45">
      <c r="A35" s="23" t="s">
        <v>33</v>
      </c>
      <c r="B35" s="24" t="s">
        <v>12</v>
      </c>
      <c r="C35" s="26" t="s">
        <v>78</v>
      </c>
      <c r="D35" s="26" t="s">
        <v>79</v>
      </c>
    </row>
    <row r="36" spans="1:4" ht="24" x14ac:dyDescent="0.45">
      <c r="A36" s="23" t="s">
        <v>57</v>
      </c>
      <c r="B36" s="24" t="s">
        <v>12</v>
      </c>
      <c r="C36" s="26" t="s">
        <v>58</v>
      </c>
      <c r="D36" s="26" t="s">
        <v>59</v>
      </c>
    </row>
    <row r="37" spans="1:4" ht="43.5" x14ac:dyDescent="0.45">
      <c r="A37" s="23" t="s">
        <v>60</v>
      </c>
      <c r="B37" s="24" t="s">
        <v>12</v>
      </c>
      <c r="C37" s="26" t="s">
        <v>61</v>
      </c>
      <c r="D37" s="28" t="s">
        <v>62</v>
      </c>
    </row>
    <row r="38" spans="1:4" ht="43.5" x14ac:dyDescent="0.45">
      <c r="A38" s="23" t="s">
        <v>63</v>
      </c>
      <c r="B38" s="24" t="s">
        <v>12</v>
      </c>
      <c r="C38" s="26" t="s">
        <v>64</v>
      </c>
      <c r="D38" s="28" t="s">
        <v>65</v>
      </c>
    </row>
    <row r="39" spans="1:4" ht="24" x14ac:dyDescent="0.45">
      <c r="A39" s="23" t="s">
        <v>66</v>
      </c>
      <c r="B39" s="24" t="s">
        <v>12</v>
      </c>
      <c r="C39" s="26" t="s">
        <v>67</v>
      </c>
      <c r="D39" s="26" t="s">
        <v>68</v>
      </c>
    </row>
    <row r="40" spans="1:4" ht="21" x14ac:dyDescent="0.35">
      <c r="A40" s="27" t="s">
        <v>30</v>
      </c>
      <c r="B40" s="24" t="s">
        <v>12</v>
      </c>
      <c r="C40" s="26" t="s">
        <v>31</v>
      </c>
      <c r="D40" s="26" t="s">
        <v>32</v>
      </c>
    </row>
    <row r="41" spans="1:4" ht="24" x14ac:dyDescent="0.45">
      <c r="A41" s="23" t="s">
        <v>51</v>
      </c>
      <c r="B41" s="24" t="s">
        <v>12</v>
      </c>
      <c r="C41" s="26" t="s">
        <v>80</v>
      </c>
      <c r="D41" s="26"/>
    </row>
    <row r="42" spans="1:4" ht="24" x14ac:dyDescent="0.45">
      <c r="A42" s="23" t="s">
        <v>51</v>
      </c>
      <c r="B42" s="24" t="s">
        <v>12</v>
      </c>
      <c r="C42" s="26" t="s">
        <v>34</v>
      </c>
      <c r="D42" s="26"/>
    </row>
    <row r="43" spans="1:4" ht="21" x14ac:dyDescent="0.35">
      <c r="A43" s="29" t="s">
        <v>81</v>
      </c>
      <c r="B43" s="24" t="s">
        <v>12</v>
      </c>
      <c r="C43" s="26" t="s">
        <v>82</v>
      </c>
      <c r="D43" s="26"/>
    </row>
    <row r="44" spans="1:4" ht="43.5" x14ac:dyDescent="0.45">
      <c r="A44" s="23" t="s">
        <v>83</v>
      </c>
      <c r="B44" s="24" t="s">
        <v>12</v>
      </c>
      <c r="C44" s="28" t="s">
        <v>84</v>
      </c>
      <c r="D44" s="26"/>
    </row>
    <row r="45" spans="1:4" ht="24" x14ac:dyDescent="0.45">
      <c r="A45" s="23" t="s">
        <v>83</v>
      </c>
      <c r="B45" s="24" t="s">
        <v>12</v>
      </c>
      <c r="C45" s="30" t="s">
        <v>85</v>
      </c>
      <c r="D45" s="26"/>
    </row>
    <row r="46" spans="1:4" ht="21" x14ac:dyDescent="0.35">
      <c r="A46" s="23"/>
      <c r="B46" s="24" t="s">
        <v>12</v>
      </c>
      <c r="C46" s="26"/>
      <c r="D46" s="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Q58"/>
  <sheetViews>
    <sheetView workbookViewId="0">
      <selection activeCell="K4" sqref="K4:K20"/>
    </sheetView>
  </sheetViews>
  <sheetFormatPr defaultRowHeight="15" x14ac:dyDescent="0.25"/>
  <cols>
    <col min="3" max="3" width="13.7109375" bestFit="1" customWidth="1"/>
    <col min="4" max="4" width="14.28515625" customWidth="1"/>
    <col min="5" max="5" width="8.42578125" bestFit="1" customWidth="1"/>
    <col min="7" max="7" width="11.5703125" bestFit="1" customWidth="1"/>
    <col min="10" max="10" width="11.5703125" bestFit="1" customWidth="1"/>
    <col min="13" max="15" width="11.5703125" bestFit="1" customWidth="1"/>
    <col min="16" max="17" width="12" bestFit="1" customWidth="1"/>
  </cols>
  <sheetData>
    <row r="2" spans="1:17" x14ac:dyDescent="0.25">
      <c r="A2" s="37" t="s">
        <v>107</v>
      </c>
      <c r="B2" s="31" t="str">
        <f>CONCATENATE("C4:C",COUNT($C$4:$C$57)+3)</f>
        <v>C4:C20</v>
      </c>
      <c r="C2">
        <f>Select_Data!A2</f>
        <v>8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</row>
    <row r="3" spans="1:17" x14ac:dyDescent="0.25">
      <c r="A3" s="1" t="s">
        <v>86</v>
      </c>
      <c r="B3" s="1" t="s">
        <v>0</v>
      </c>
      <c r="C3" s="1"/>
      <c r="D3" s="5" t="str">
        <f>CONCATENATE("Cost-yt",D2)</f>
        <v>Cost-yt1</v>
      </c>
      <c r="E3" s="5" t="str">
        <f t="shared" ref="E3:Q3" si="0">CONCATENATE("Cost-yt",E2)</f>
        <v>Cost-yt2</v>
      </c>
      <c r="F3" s="5" t="str">
        <f t="shared" si="0"/>
        <v>Cost-yt3</v>
      </c>
      <c r="G3" s="5" t="str">
        <f t="shared" si="0"/>
        <v>Cost-yt4</v>
      </c>
      <c r="H3" s="5" t="str">
        <f t="shared" si="0"/>
        <v>Cost-yt5</v>
      </c>
      <c r="I3" s="5" t="str">
        <f t="shared" si="0"/>
        <v>Cost-yt6</v>
      </c>
      <c r="J3" s="5" t="str">
        <f t="shared" si="0"/>
        <v>Cost-yt7</v>
      </c>
      <c r="K3" s="5" t="str">
        <f t="shared" si="0"/>
        <v>Cost-yt8</v>
      </c>
      <c r="L3" s="5" t="str">
        <f t="shared" si="0"/>
        <v>Cost-yt9</v>
      </c>
      <c r="M3" s="5" t="str">
        <f t="shared" si="0"/>
        <v>Cost-yt10</v>
      </c>
      <c r="N3" s="5" t="str">
        <f t="shared" si="0"/>
        <v>Cost-yt11</v>
      </c>
      <c r="O3" s="5" t="str">
        <f t="shared" si="0"/>
        <v>Cost-yt12</v>
      </c>
      <c r="P3" s="5" t="str">
        <f t="shared" si="0"/>
        <v>Cost-yt13</v>
      </c>
      <c r="Q3" s="5" t="str">
        <f t="shared" si="0"/>
        <v>Cost-yt14</v>
      </c>
    </row>
    <row r="4" spans="1:17" x14ac:dyDescent="0.25">
      <c r="A4" t="str">
        <f>D3</f>
        <v>Cost-yt1</v>
      </c>
      <c r="B4" s="3">
        <v>1</v>
      </c>
      <c r="C4" s="33">
        <f>IF(INDEX(D4:Q100,1,$C$2)=0,"",INDEX(D4:Q100,1,$C$2))</f>
        <v>213078</v>
      </c>
      <c r="D4" s="2">
        <v>2396350.75</v>
      </c>
      <c r="E4">
        <f>D4/10.5</f>
        <v>228223.88095238095</v>
      </c>
      <c r="F4">
        <f>SQRT(D4)*100</f>
        <v>154801.51000555517</v>
      </c>
      <c r="G4" s="35">
        <v>213078</v>
      </c>
      <c r="H4">
        <v>10</v>
      </c>
      <c r="I4">
        <v>200</v>
      </c>
      <c r="J4" s="2">
        <v>143</v>
      </c>
      <c r="K4">
        <v>213078</v>
      </c>
      <c r="M4" s="2"/>
      <c r="N4" s="2"/>
      <c r="O4" s="2"/>
    </row>
    <row r="5" spans="1:17" x14ac:dyDescent="0.25">
      <c r="A5" t="str">
        <f>E3</f>
        <v>Cost-yt2</v>
      </c>
      <c r="B5" s="3">
        <v>2</v>
      </c>
      <c r="C5" s="33">
        <f t="shared" ref="C5:C58" si="1">IF(INDEX(D5:T101,1,$C$2)=0,"",INDEX(D5:T101,1,$C$2))</f>
        <v>240858</v>
      </c>
      <c r="D5" s="2">
        <v>2993301.35</v>
      </c>
      <c r="E5">
        <f t="shared" ref="E5:E58" si="2">D5/10.5</f>
        <v>285076.31904761906</v>
      </c>
      <c r="F5">
        <f t="shared" ref="F5:F58" si="3">SQRT(D5)*100</f>
        <v>173011.59932212639</v>
      </c>
      <c r="G5" s="35">
        <v>240858</v>
      </c>
      <c r="H5">
        <v>20</v>
      </c>
      <c r="I5">
        <v>135</v>
      </c>
      <c r="J5" s="2">
        <v>152</v>
      </c>
      <c r="K5">
        <v>240858</v>
      </c>
      <c r="M5" s="2"/>
      <c r="N5" s="2"/>
      <c r="O5" s="2"/>
    </row>
    <row r="6" spans="1:17" x14ac:dyDescent="0.25">
      <c r="A6" t="str">
        <f>F3</f>
        <v>Cost-yt3</v>
      </c>
      <c r="B6" s="3">
        <v>3</v>
      </c>
      <c r="C6" s="33">
        <f t="shared" si="1"/>
        <v>282563.70000000007</v>
      </c>
      <c r="D6" s="2">
        <v>3610184.05</v>
      </c>
      <c r="E6">
        <f t="shared" si="2"/>
        <v>343827.05238095234</v>
      </c>
      <c r="F6">
        <f t="shared" si="3"/>
        <v>190004.84335932072</v>
      </c>
      <c r="G6" s="35">
        <v>282563.70000000007</v>
      </c>
      <c r="H6">
        <v>30</v>
      </c>
      <c r="I6">
        <v>195</v>
      </c>
      <c r="J6" s="2">
        <v>161</v>
      </c>
      <c r="K6">
        <v>282563.70000000007</v>
      </c>
      <c r="M6" s="2"/>
      <c r="N6" s="2"/>
      <c r="O6" s="2"/>
    </row>
    <row r="7" spans="1:17" x14ac:dyDescent="0.25">
      <c r="A7" t="str">
        <f>G3</f>
        <v>Cost-yt4</v>
      </c>
      <c r="B7" s="3">
        <v>4</v>
      </c>
      <c r="C7" s="33">
        <f t="shared" si="1"/>
        <v>227827.1</v>
      </c>
      <c r="D7" s="2">
        <v>2895601.14</v>
      </c>
      <c r="E7">
        <f t="shared" si="2"/>
        <v>275771.53714285715</v>
      </c>
      <c r="F7">
        <f t="shared" si="3"/>
        <v>170164.65966821666</v>
      </c>
      <c r="G7" s="35">
        <v>227827.1</v>
      </c>
      <c r="H7">
        <v>40</v>
      </c>
      <c r="I7">
        <v>197.5</v>
      </c>
      <c r="J7" s="2">
        <v>139</v>
      </c>
      <c r="K7">
        <v>227827.1</v>
      </c>
      <c r="M7" s="2"/>
      <c r="N7" s="2"/>
      <c r="O7" s="2"/>
    </row>
    <row r="8" spans="1:17" x14ac:dyDescent="0.25">
      <c r="A8" t="str">
        <f>H3</f>
        <v>Cost-yt5</v>
      </c>
      <c r="B8" s="3">
        <v>5</v>
      </c>
      <c r="C8" s="33">
        <f t="shared" si="1"/>
        <v>294816</v>
      </c>
      <c r="D8" s="2">
        <v>2680992.7200000002</v>
      </c>
      <c r="E8">
        <f t="shared" si="2"/>
        <v>255332.64</v>
      </c>
      <c r="F8">
        <f t="shared" si="3"/>
        <v>163737.37264290033</v>
      </c>
      <c r="G8" s="35">
        <v>294816</v>
      </c>
      <c r="H8">
        <v>50</v>
      </c>
      <c r="I8">
        <v>310</v>
      </c>
      <c r="J8" s="2">
        <v>137</v>
      </c>
      <c r="K8">
        <v>294816</v>
      </c>
      <c r="M8" s="2"/>
      <c r="N8" s="2"/>
      <c r="O8" s="2"/>
    </row>
    <row r="9" spans="1:17" x14ac:dyDescent="0.25">
      <c r="A9" t="str">
        <f>I3</f>
        <v>Cost-yt6</v>
      </c>
      <c r="B9" s="3">
        <v>6</v>
      </c>
      <c r="C9" s="33">
        <f t="shared" si="1"/>
        <v>359881</v>
      </c>
      <c r="D9" s="2">
        <v>2230899.34</v>
      </c>
      <c r="E9">
        <f t="shared" si="2"/>
        <v>212466.6038095238</v>
      </c>
      <c r="F9">
        <f t="shared" si="3"/>
        <v>149361.95432572512</v>
      </c>
      <c r="G9" s="35">
        <v>359881</v>
      </c>
      <c r="H9">
        <v>60</v>
      </c>
      <c r="I9">
        <v>175</v>
      </c>
      <c r="J9" s="2">
        <v>174</v>
      </c>
      <c r="K9">
        <v>359881</v>
      </c>
      <c r="M9" s="2"/>
      <c r="N9" s="2"/>
      <c r="O9" s="2"/>
    </row>
    <row r="10" spans="1:17" x14ac:dyDescent="0.25">
      <c r="A10" t="str">
        <f>J3</f>
        <v>Cost-yt7</v>
      </c>
      <c r="B10" s="3">
        <v>7</v>
      </c>
      <c r="C10" s="33">
        <f t="shared" si="1"/>
        <v>283609.2</v>
      </c>
      <c r="D10" s="2">
        <v>5704790.1600000001</v>
      </c>
      <c r="E10">
        <f t="shared" si="2"/>
        <v>543313.34857142856</v>
      </c>
      <c r="F10">
        <f t="shared" si="3"/>
        <v>238847.02552052014</v>
      </c>
      <c r="G10" s="35">
        <v>283609.2</v>
      </c>
      <c r="H10">
        <v>70</v>
      </c>
      <c r="I10">
        <v>155</v>
      </c>
      <c r="J10" s="2">
        <v>142</v>
      </c>
      <c r="K10">
        <v>283609.2</v>
      </c>
      <c r="M10" s="2"/>
      <c r="N10" s="2"/>
      <c r="O10" s="2"/>
    </row>
    <row r="11" spans="1:17" x14ac:dyDescent="0.25">
      <c r="A11" t="str">
        <f>K3</f>
        <v>Cost-yt8</v>
      </c>
      <c r="B11" s="3">
        <v>8</v>
      </c>
      <c r="C11" s="33">
        <f t="shared" si="1"/>
        <v>303780.11</v>
      </c>
      <c r="D11" s="2">
        <v>5722916.0999999996</v>
      </c>
      <c r="E11">
        <f t="shared" si="2"/>
        <v>545039.62857142859</v>
      </c>
      <c r="F11">
        <f t="shared" si="3"/>
        <v>239226.17122714646</v>
      </c>
      <c r="G11" s="35">
        <v>303780.11</v>
      </c>
      <c r="H11">
        <v>80</v>
      </c>
      <c r="I11">
        <v>130</v>
      </c>
      <c r="J11" s="2">
        <v>141</v>
      </c>
      <c r="K11">
        <v>303780.11</v>
      </c>
      <c r="M11" s="2"/>
      <c r="N11" s="2"/>
      <c r="O11" s="2"/>
    </row>
    <row r="12" spans="1:17" x14ac:dyDescent="0.25">
      <c r="A12" t="str">
        <f>L3</f>
        <v>Cost-yt9</v>
      </c>
      <c r="B12" s="3">
        <v>9</v>
      </c>
      <c r="C12" s="33">
        <f t="shared" si="1"/>
        <v>360843.95</v>
      </c>
      <c r="D12" s="2">
        <v>3872201.91</v>
      </c>
      <c r="E12">
        <f t="shared" si="2"/>
        <v>368781.1342857143</v>
      </c>
      <c r="F12">
        <f t="shared" si="3"/>
        <v>196779.11245861437</v>
      </c>
      <c r="G12" s="35">
        <v>360843.95</v>
      </c>
      <c r="H12">
        <v>90</v>
      </c>
      <c r="I12">
        <v>220</v>
      </c>
      <c r="J12" s="2">
        <v>162</v>
      </c>
      <c r="K12">
        <v>360843.95</v>
      </c>
      <c r="M12" s="2"/>
      <c r="N12" s="2"/>
      <c r="O12" s="2"/>
    </row>
    <row r="13" spans="1:17" x14ac:dyDescent="0.25">
      <c r="A13" t="str">
        <f>M3</f>
        <v>Cost-yt10</v>
      </c>
      <c r="B13" s="3">
        <v>10</v>
      </c>
      <c r="C13" s="33">
        <f t="shared" si="1"/>
        <v>303033.69999999995</v>
      </c>
      <c r="D13" s="2">
        <v>3363029.2</v>
      </c>
      <c r="E13">
        <f t="shared" si="2"/>
        <v>320288.49523809523</v>
      </c>
      <c r="F13">
        <f t="shared" si="3"/>
        <v>183385.63738744648</v>
      </c>
      <c r="G13" s="35">
        <v>303033.69999999995</v>
      </c>
      <c r="H13">
        <v>100</v>
      </c>
      <c r="I13">
        <v>277.5</v>
      </c>
      <c r="J13" s="2">
        <v>180</v>
      </c>
      <c r="K13">
        <v>303033.69999999995</v>
      </c>
      <c r="M13" s="2"/>
      <c r="N13" s="2"/>
      <c r="O13" s="2"/>
    </row>
    <row r="14" spans="1:17" x14ac:dyDescent="0.25">
      <c r="A14" t="str">
        <f>N3</f>
        <v>Cost-yt11</v>
      </c>
      <c r="B14" s="3">
        <v>11</v>
      </c>
      <c r="C14" s="33">
        <f t="shared" si="1"/>
        <v>314587.2</v>
      </c>
      <c r="D14" s="2">
        <v>3859927.15</v>
      </c>
      <c r="E14">
        <f t="shared" si="2"/>
        <v>367612.10952380951</v>
      </c>
      <c r="F14">
        <f t="shared" si="3"/>
        <v>196466.97305145208</v>
      </c>
      <c r="G14" s="35">
        <v>314587.2</v>
      </c>
      <c r="H14">
        <v>110</v>
      </c>
      <c r="I14">
        <v>235</v>
      </c>
      <c r="J14" s="2">
        <v>164</v>
      </c>
      <c r="K14">
        <v>314587.2</v>
      </c>
      <c r="M14" s="2"/>
      <c r="N14" s="2"/>
      <c r="O14" s="2"/>
    </row>
    <row r="15" spans="1:17" x14ac:dyDescent="0.25">
      <c r="A15" t="str">
        <f>O3</f>
        <v>Cost-yt12</v>
      </c>
      <c r="B15" s="3">
        <v>12</v>
      </c>
      <c r="C15" s="33">
        <f t="shared" si="1"/>
        <v>372885.8</v>
      </c>
      <c r="D15" s="2">
        <v>4461741.18</v>
      </c>
      <c r="E15">
        <f t="shared" si="2"/>
        <v>424927.73142857139</v>
      </c>
      <c r="F15">
        <f t="shared" si="3"/>
        <v>211228.34042807794</v>
      </c>
      <c r="G15" s="35">
        <v>372885.8</v>
      </c>
      <c r="H15">
        <v>120</v>
      </c>
      <c r="J15" s="2">
        <v>171</v>
      </c>
      <c r="K15">
        <v>372885.8</v>
      </c>
      <c r="M15" s="2"/>
      <c r="N15" s="2"/>
      <c r="O15" s="2"/>
    </row>
    <row r="16" spans="1:17" x14ac:dyDescent="0.25">
      <c r="A16" t="str">
        <f>P3</f>
        <v>Cost-yt13</v>
      </c>
      <c r="B16" s="3">
        <v>13</v>
      </c>
      <c r="C16" s="33">
        <f t="shared" si="1"/>
        <v>306537.53999999998</v>
      </c>
      <c r="D16" s="2">
        <v>3642094.67</v>
      </c>
      <c r="E16">
        <f t="shared" si="2"/>
        <v>346866.15904761903</v>
      </c>
      <c r="F16">
        <f t="shared" si="3"/>
        <v>190842.72765814266</v>
      </c>
      <c r="G16" s="13">
        <v>306537.53999999998</v>
      </c>
      <c r="H16">
        <v>130</v>
      </c>
      <c r="J16" s="2">
        <v>206</v>
      </c>
      <c r="K16">
        <v>306537.53999999998</v>
      </c>
      <c r="M16" s="2"/>
      <c r="N16" s="2"/>
      <c r="O16" s="2"/>
    </row>
    <row r="17" spans="1:15" x14ac:dyDescent="0.25">
      <c r="A17" t="str">
        <f>Q3</f>
        <v>Cost-yt14</v>
      </c>
      <c r="B17" s="3">
        <v>14</v>
      </c>
      <c r="C17" s="33">
        <f t="shared" si="1"/>
        <v>289441.90000000002</v>
      </c>
      <c r="D17" s="2">
        <v>3435247.39</v>
      </c>
      <c r="E17">
        <f t="shared" si="2"/>
        <v>327166.4180952381</v>
      </c>
      <c r="F17">
        <f t="shared" si="3"/>
        <v>185344.20384786787</v>
      </c>
      <c r="G17" s="7">
        <v>289441.90000000002</v>
      </c>
      <c r="H17">
        <v>140</v>
      </c>
      <c r="J17" s="2">
        <v>193</v>
      </c>
      <c r="K17">
        <v>289441.90000000002</v>
      </c>
      <c r="M17" s="2"/>
      <c r="N17" s="2"/>
      <c r="O17" s="2"/>
    </row>
    <row r="18" spans="1:15" x14ac:dyDescent="0.25">
      <c r="B18" s="3">
        <v>15</v>
      </c>
      <c r="C18" s="33">
        <f t="shared" si="1"/>
        <v>324311.09999999998</v>
      </c>
      <c r="D18" s="2">
        <v>4947315.09</v>
      </c>
      <c r="E18">
        <f t="shared" si="2"/>
        <v>471172.8657142857</v>
      </c>
      <c r="F18">
        <f t="shared" si="3"/>
        <v>222425.60756351773</v>
      </c>
      <c r="G18" s="13">
        <v>323799.09999999998</v>
      </c>
      <c r="H18">
        <v>150</v>
      </c>
      <c r="J18" s="2">
        <v>207</v>
      </c>
      <c r="K18">
        <v>324311.09999999998</v>
      </c>
      <c r="M18" s="2"/>
      <c r="N18" s="2"/>
      <c r="O18" s="2"/>
    </row>
    <row r="19" spans="1:15" x14ac:dyDescent="0.25">
      <c r="B19" s="3">
        <v>16</v>
      </c>
      <c r="C19" s="33">
        <f t="shared" si="1"/>
        <v>284183.09999999998</v>
      </c>
      <c r="D19" s="2">
        <v>9543898.0299999993</v>
      </c>
      <c r="E19">
        <f t="shared" si="2"/>
        <v>908942.66952380945</v>
      </c>
      <c r="F19">
        <f t="shared" si="3"/>
        <v>308931.99947561277</v>
      </c>
      <c r="G19" s="2"/>
      <c r="H19">
        <v>160</v>
      </c>
      <c r="J19" s="2">
        <v>218</v>
      </c>
      <c r="K19">
        <v>284183.09999999998</v>
      </c>
      <c r="M19" s="2"/>
      <c r="N19" s="2"/>
      <c r="O19" s="2"/>
    </row>
    <row r="20" spans="1:15" x14ac:dyDescent="0.25">
      <c r="B20" s="3">
        <v>17</v>
      </c>
      <c r="C20" s="33">
        <f t="shared" si="1"/>
        <v>274069.5</v>
      </c>
      <c r="D20" s="2">
        <v>10174931.1</v>
      </c>
      <c r="E20">
        <f t="shared" si="2"/>
        <v>969041.05714285711</v>
      </c>
      <c r="F20">
        <f t="shared" si="3"/>
        <v>318981.67815722583</v>
      </c>
      <c r="G20" s="2"/>
      <c r="H20">
        <v>170</v>
      </c>
      <c r="J20" s="2">
        <v>229</v>
      </c>
      <c r="K20">
        <v>274069.5</v>
      </c>
      <c r="M20" s="2"/>
      <c r="N20" s="2"/>
      <c r="O20" s="2"/>
    </row>
    <row r="21" spans="1:15" x14ac:dyDescent="0.25">
      <c r="B21" s="3">
        <v>18</v>
      </c>
      <c r="C21" s="33" t="str">
        <f t="shared" si="1"/>
        <v/>
      </c>
      <c r="D21" s="2">
        <v>13217728.91</v>
      </c>
      <c r="E21">
        <f t="shared" si="2"/>
        <v>1258831.3247619048</v>
      </c>
      <c r="F21">
        <f t="shared" si="3"/>
        <v>363561.94671609957</v>
      </c>
      <c r="G21" s="2"/>
      <c r="H21">
        <v>180</v>
      </c>
      <c r="J21" s="2">
        <v>225</v>
      </c>
      <c r="M21" s="2"/>
      <c r="N21" s="2"/>
      <c r="O21" s="2"/>
    </row>
    <row r="22" spans="1:15" x14ac:dyDescent="0.25">
      <c r="B22" s="3">
        <v>19</v>
      </c>
      <c r="C22" s="33" t="str">
        <f t="shared" si="1"/>
        <v/>
      </c>
      <c r="D22" s="2">
        <v>11233848.789999999</v>
      </c>
      <c r="E22">
        <f t="shared" si="2"/>
        <v>1069890.3609523808</v>
      </c>
      <c r="F22">
        <f t="shared" si="3"/>
        <v>335169.34212424618</v>
      </c>
      <c r="G22" s="2"/>
      <c r="H22">
        <v>190</v>
      </c>
      <c r="J22" s="2">
        <v>204</v>
      </c>
      <c r="M22" s="2"/>
      <c r="N22" s="2"/>
      <c r="O22" s="2"/>
    </row>
    <row r="23" spans="1:15" x14ac:dyDescent="0.25">
      <c r="B23" s="3">
        <v>20</v>
      </c>
      <c r="C23" s="33" t="str">
        <f t="shared" si="1"/>
        <v/>
      </c>
      <c r="D23" s="2">
        <v>6454587.75</v>
      </c>
      <c r="E23">
        <f t="shared" si="2"/>
        <v>614722.64285714284</v>
      </c>
      <c r="F23">
        <f t="shared" si="3"/>
        <v>254058.80716873409</v>
      </c>
      <c r="G23" s="2"/>
      <c r="H23">
        <v>200</v>
      </c>
      <c r="J23" s="2">
        <v>227</v>
      </c>
      <c r="M23" s="2"/>
      <c r="N23" s="2"/>
      <c r="O23" s="2"/>
    </row>
    <row r="24" spans="1:15" x14ac:dyDescent="0.25">
      <c r="B24" s="3">
        <v>21</v>
      </c>
      <c r="C24" s="33" t="str">
        <f t="shared" si="1"/>
        <v/>
      </c>
      <c r="D24" s="2">
        <v>10371684.220000001</v>
      </c>
      <c r="E24">
        <f t="shared" si="2"/>
        <v>987779.4495238096</v>
      </c>
      <c r="F24">
        <f t="shared" si="3"/>
        <v>322050.99316723121</v>
      </c>
      <c r="G24" s="2"/>
      <c r="J24" s="2">
        <v>223</v>
      </c>
      <c r="M24" s="2"/>
      <c r="N24" s="2"/>
      <c r="O24" s="2"/>
    </row>
    <row r="25" spans="1:15" x14ac:dyDescent="0.25">
      <c r="B25" s="3">
        <v>22</v>
      </c>
      <c r="C25" s="33" t="str">
        <f t="shared" si="1"/>
        <v/>
      </c>
      <c r="D25" s="2">
        <v>8677806.9800000004</v>
      </c>
      <c r="E25">
        <f t="shared" si="2"/>
        <v>826457.8076190477</v>
      </c>
      <c r="F25">
        <f t="shared" si="3"/>
        <v>294581.17692751519</v>
      </c>
      <c r="G25" s="2"/>
      <c r="J25" s="2">
        <v>242</v>
      </c>
      <c r="M25" s="2"/>
      <c r="N25" s="2"/>
      <c r="O25" s="2"/>
    </row>
    <row r="26" spans="1:15" x14ac:dyDescent="0.25">
      <c r="B26" s="3">
        <v>23</v>
      </c>
      <c r="C26" s="33" t="str">
        <f t="shared" si="1"/>
        <v/>
      </c>
      <c r="D26" s="2">
        <v>3779442.68</v>
      </c>
      <c r="E26">
        <f t="shared" si="2"/>
        <v>359946.92190476193</v>
      </c>
      <c r="F26">
        <f t="shared" si="3"/>
        <v>194407.88770006222</v>
      </c>
      <c r="G26" s="2"/>
      <c r="J26" s="2">
        <v>239</v>
      </c>
      <c r="M26" s="2"/>
      <c r="N26" s="2"/>
      <c r="O26" s="2"/>
    </row>
    <row r="27" spans="1:15" x14ac:dyDescent="0.25">
      <c r="B27" s="3">
        <v>24</v>
      </c>
      <c r="C27" s="33" t="str">
        <f t="shared" si="1"/>
        <v/>
      </c>
      <c r="D27" s="2">
        <v>10436178.550000001</v>
      </c>
      <c r="E27">
        <f t="shared" si="2"/>
        <v>993921.76666666672</v>
      </c>
      <c r="F27">
        <f t="shared" si="3"/>
        <v>323050.7475614319</v>
      </c>
      <c r="G27" s="2"/>
      <c r="J27" s="2">
        <v>266</v>
      </c>
      <c r="M27" s="2"/>
      <c r="N27" s="2"/>
      <c r="O27" s="2"/>
    </row>
    <row r="28" spans="1:15" x14ac:dyDescent="0.25">
      <c r="B28" s="3">
        <v>25</v>
      </c>
      <c r="C28" s="33" t="str">
        <f t="shared" si="1"/>
        <v/>
      </c>
      <c r="D28" s="2">
        <v>9160833.2100000009</v>
      </c>
      <c r="E28">
        <f t="shared" si="2"/>
        <v>872460.30571428582</v>
      </c>
      <c r="F28">
        <f t="shared" si="3"/>
        <v>302668.68371207488</v>
      </c>
      <c r="G28" s="2"/>
      <c r="J28" s="2"/>
      <c r="M28" s="2"/>
      <c r="N28" s="2"/>
      <c r="O28" s="2"/>
    </row>
    <row r="29" spans="1:15" x14ac:dyDescent="0.25">
      <c r="B29" s="3">
        <v>26</v>
      </c>
      <c r="C29" s="33" t="str">
        <f t="shared" si="1"/>
        <v/>
      </c>
      <c r="D29" s="2">
        <v>8196585.4699999997</v>
      </c>
      <c r="E29">
        <f t="shared" si="2"/>
        <v>780627.18761904759</v>
      </c>
      <c r="F29">
        <f t="shared" si="3"/>
        <v>286296.7947777271</v>
      </c>
      <c r="G29" s="2"/>
      <c r="J29" s="2"/>
      <c r="M29" s="2"/>
      <c r="N29" s="2"/>
      <c r="O29" s="2"/>
    </row>
    <row r="30" spans="1:15" x14ac:dyDescent="0.25">
      <c r="B30" s="3">
        <v>27</v>
      </c>
      <c r="C30" s="33" t="str">
        <f t="shared" si="1"/>
        <v/>
      </c>
      <c r="D30" s="2">
        <v>8390638.4199999999</v>
      </c>
      <c r="E30">
        <f t="shared" si="2"/>
        <v>799108.42095238098</v>
      </c>
      <c r="F30">
        <f t="shared" si="3"/>
        <v>289665.98730261723</v>
      </c>
      <c r="G30" s="2"/>
      <c r="J30" s="2"/>
      <c r="M30" s="2"/>
      <c r="N30" s="2"/>
      <c r="O30" s="2"/>
    </row>
    <row r="31" spans="1:15" x14ac:dyDescent="0.25">
      <c r="B31" s="3">
        <v>28</v>
      </c>
      <c r="C31" s="33" t="str">
        <f t="shared" si="1"/>
        <v/>
      </c>
      <c r="D31" s="2">
        <v>7883001.71</v>
      </c>
      <c r="E31">
        <f t="shared" si="2"/>
        <v>750762.06761904759</v>
      </c>
      <c r="F31">
        <f t="shared" si="3"/>
        <v>280766.83760729292</v>
      </c>
      <c r="G31" s="2"/>
      <c r="J31" s="2"/>
      <c r="M31" s="2"/>
      <c r="N31" s="2"/>
      <c r="O31" s="2"/>
    </row>
    <row r="32" spans="1:15" x14ac:dyDescent="0.25">
      <c r="B32" s="3">
        <v>29</v>
      </c>
      <c r="C32" s="33" t="str">
        <f t="shared" si="1"/>
        <v/>
      </c>
      <c r="D32" s="2">
        <v>8093686.1299999999</v>
      </c>
      <c r="E32">
        <f t="shared" si="2"/>
        <v>770827.25047619047</v>
      </c>
      <c r="F32">
        <f t="shared" si="3"/>
        <v>284494.04440163594</v>
      </c>
      <c r="G32" s="2"/>
      <c r="J32" s="2"/>
      <c r="M32" s="2"/>
      <c r="N32" s="2"/>
      <c r="O32" s="2"/>
    </row>
    <row r="33" spans="2:15" x14ac:dyDescent="0.25">
      <c r="B33" s="3">
        <v>30</v>
      </c>
      <c r="C33" s="33" t="str">
        <f t="shared" si="1"/>
        <v/>
      </c>
      <c r="D33" s="4">
        <v>12262552.050000001</v>
      </c>
      <c r="E33">
        <f t="shared" si="2"/>
        <v>1167862.1000000001</v>
      </c>
      <c r="F33">
        <f t="shared" si="3"/>
        <v>350179.26908941939</v>
      </c>
      <c r="G33" s="4"/>
      <c r="J33" s="4"/>
      <c r="M33" s="4"/>
      <c r="N33" s="4"/>
      <c r="O33" s="4"/>
    </row>
    <row r="34" spans="2:15" x14ac:dyDescent="0.25">
      <c r="B34" s="3">
        <v>31</v>
      </c>
      <c r="C34" s="33" t="str">
        <f t="shared" si="1"/>
        <v/>
      </c>
      <c r="D34" s="4">
        <v>11754599.02</v>
      </c>
      <c r="E34">
        <f t="shared" si="2"/>
        <v>1119485.6209523808</v>
      </c>
      <c r="F34">
        <f t="shared" si="3"/>
        <v>342849.80705842609</v>
      </c>
      <c r="G34" s="4"/>
      <c r="J34" s="4"/>
      <c r="M34" s="4"/>
      <c r="N34" s="4"/>
      <c r="O34" s="4"/>
    </row>
    <row r="35" spans="2:15" x14ac:dyDescent="0.25">
      <c r="B35" s="3">
        <v>32</v>
      </c>
      <c r="C35" s="33" t="str">
        <f t="shared" si="1"/>
        <v/>
      </c>
      <c r="D35" s="4">
        <v>7439753.9000000004</v>
      </c>
      <c r="E35">
        <f t="shared" si="2"/>
        <v>708547.99047619046</v>
      </c>
      <c r="F35">
        <f t="shared" si="3"/>
        <v>272759.12267053511</v>
      </c>
      <c r="G35" s="4"/>
      <c r="J35" s="4"/>
      <c r="M35" s="4"/>
      <c r="N35" s="4"/>
      <c r="O35" s="4"/>
    </row>
    <row r="36" spans="2:15" x14ac:dyDescent="0.25">
      <c r="B36" s="3">
        <v>33</v>
      </c>
      <c r="C36" s="33" t="str">
        <f t="shared" si="1"/>
        <v/>
      </c>
      <c r="D36" s="4">
        <v>10163850.08</v>
      </c>
      <c r="E36">
        <f t="shared" si="2"/>
        <v>967985.72190476186</v>
      </c>
      <c r="F36">
        <f t="shared" si="3"/>
        <v>318807.93716593692</v>
      </c>
      <c r="G36" s="4"/>
      <c r="J36" s="4"/>
      <c r="M36" s="4"/>
      <c r="N36" s="4"/>
      <c r="O36" s="4"/>
    </row>
    <row r="37" spans="2:15" x14ac:dyDescent="0.25">
      <c r="B37" s="3">
        <v>34</v>
      </c>
      <c r="C37" s="33" t="str">
        <f t="shared" si="1"/>
        <v/>
      </c>
      <c r="D37" s="4">
        <v>7497451.8700000001</v>
      </c>
      <c r="E37">
        <f t="shared" si="2"/>
        <v>714043.03523809521</v>
      </c>
      <c r="F37">
        <f t="shared" si="3"/>
        <v>273814.75252440292</v>
      </c>
      <c r="G37" s="4"/>
      <c r="J37" s="4"/>
      <c r="M37" s="4"/>
      <c r="N37" s="4"/>
      <c r="O37" s="4"/>
    </row>
    <row r="38" spans="2:15" x14ac:dyDescent="0.25">
      <c r="B38" s="3">
        <v>35</v>
      </c>
      <c r="C38" s="33" t="str">
        <f t="shared" si="1"/>
        <v/>
      </c>
      <c r="D38" s="4">
        <v>6852327.0700000003</v>
      </c>
      <c r="E38">
        <f t="shared" si="2"/>
        <v>652602.57809523807</v>
      </c>
      <c r="F38">
        <f t="shared" si="3"/>
        <v>261769.4991781892</v>
      </c>
      <c r="G38" s="4"/>
      <c r="J38" s="4"/>
      <c r="M38" s="4"/>
      <c r="N38" s="4"/>
      <c r="O38" s="4"/>
    </row>
    <row r="39" spans="2:15" x14ac:dyDescent="0.25">
      <c r="B39" s="3">
        <v>36</v>
      </c>
      <c r="C39" s="33" t="str">
        <f t="shared" si="1"/>
        <v/>
      </c>
      <c r="D39">
        <v>8442884.0600000005</v>
      </c>
      <c r="E39">
        <f t="shared" si="2"/>
        <v>804084.19619047618</v>
      </c>
      <c r="F39">
        <f t="shared" si="3"/>
        <v>290566.41340664274</v>
      </c>
    </row>
    <row r="40" spans="2:15" x14ac:dyDescent="0.25">
      <c r="B40" s="3">
        <v>37</v>
      </c>
      <c r="C40" s="33" t="str">
        <f t="shared" si="1"/>
        <v/>
      </c>
      <c r="D40">
        <v>5665034.1500000004</v>
      </c>
      <c r="E40">
        <f t="shared" si="2"/>
        <v>539527.06190476194</v>
      </c>
      <c r="F40">
        <f t="shared" si="3"/>
        <v>238013.32210613758</v>
      </c>
    </row>
    <row r="41" spans="2:15" x14ac:dyDescent="0.25">
      <c r="B41" s="3">
        <v>38</v>
      </c>
      <c r="C41" s="33" t="str">
        <f t="shared" si="1"/>
        <v/>
      </c>
      <c r="D41">
        <v>7161120.3799999999</v>
      </c>
      <c r="E41">
        <f t="shared" si="2"/>
        <v>682011.46476190479</v>
      </c>
      <c r="F41">
        <f t="shared" si="3"/>
        <v>267602.69766951154</v>
      </c>
    </row>
    <row r="42" spans="2:15" x14ac:dyDescent="0.25">
      <c r="B42" s="3">
        <v>39</v>
      </c>
      <c r="C42" s="33" t="str">
        <f t="shared" si="1"/>
        <v/>
      </c>
      <c r="D42">
        <v>9425494.4100000001</v>
      </c>
      <c r="E42">
        <f t="shared" si="2"/>
        <v>897666.13428571424</v>
      </c>
      <c r="F42">
        <f t="shared" si="3"/>
        <v>307009.68079199066</v>
      </c>
    </row>
    <row r="43" spans="2:15" x14ac:dyDescent="0.25">
      <c r="B43" s="3">
        <v>40</v>
      </c>
      <c r="C43" s="33" t="str">
        <f t="shared" si="1"/>
        <v/>
      </c>
      <c r="D43">
        <v>7811590.6299999999</v>
      </c>
      <c r="E43">
        <f t="shared" si="2"/>
        <v>743961.01238095236</v>
      </c>
      <c r="F43">
        <f t="shared" si="3"/>
        <v>279492.22940897656</v>
      </c>
    </row>
    <row r="44" spans="2:15" x14ac:dyDescent="0.25">
      <c r="B44" s="3">
        <v>41</v>
      </c>
      <c r="C44" s="33" t="str">
        <f t="shared" si="1"/>
        <v/>
      </c>
      <c r="D44">
        <v>5145719</v>
      </c>
      <c r="E44">
        <f t="shared" si="2"/>
        <v>490068.47619047621</v>
      </c>
      <c r="F44">
        <f t="shared" si="3"/>
        <v>226841.77304896907</v>
      </c>
    </row>
    <row r="45" spans="2:15" x14ac:dyDescent="0.25">
      <c r="B45" s="3">
        <v>42</v>
      </c>
      <c r="C45" s="33" t="str">
        <f t="shared" si="1"/>
        <v/>
      </c>
      <c r="D45">
        <v>5642434.6200000001</v>
      </c>
      <c r="E45">
        <f t="shared" si="2"/>
        <v>537374.72571428574</v>
      </c>
      <c r="F45">
        <f t="shared" si="3"/>
        <v>237538.09420806592</v>
      </c>
    </row>
    <row r="46" spans="2:15" x14ac:dyDescent="0.25">
      <c r="B46" s="3">
        <v>43</v>
      </c>
      <c r="C46" s="33" t="str">
        <f t="shared" si="1"/>
        <v/>
      </c>
      <c r="D46">
        <v>4936152.79</v>
      </c>
      <c r="E46">
        <f t="shared" si="2"/>
        <v>470109.78952380951</v>
      </c>
      <c r="F46">
        <f t="shared" si="3"/>
        <v>222174.54377133309</v>
      </c>
    </row>
    <row r="47" spans="2:15" x14ac:dyDescent="0.25">
      <c r="B47" s="3">
        <v>44</v>
      </c>
      <c r="C47" s="33" t="str">
        <f t="shared" si="1"/>
        <v/>
      </c>
      <c r="D47">
        <v>3723681.24</v>
      </c>
      <c r="E47">
        <f t="shared" si="2"/>
        <v>354636.30857142858</v>
      </c>
      <c r="F47">
        <f t="shared" si="3"/>
        <v>192968.42332361013</v>
      </c>
    </row>
    <row r="48" spans="2:15" x14ac:dyDescent="0.25">
      <c r="B48" s="3">
        <v>45</v>
      </c>
      <c r="C48" s="33" t="str">
        <f t="shared" si="1"/>
        <v/>
      </c>
      <c r="D48">
        <v>4667037.42</v>
      </c>
      <c r="E48">
        <f t="shared" si="2"/>
        <v>444479.7542857143</v>
      </c>
      <c r="F48">
        <f t="shared" si="3"/>
        <v>216033.2710486975</v>
      </c>
    </row>
    <row r="49" spans="2:15" x14ac:dyDescent="0.25">
      <c r="B49" s="3">
        <v>46</v>
      </c>
      <c r="C49" s="33" t="str">
        <f t="shared" si="1"/>
        <v/>
      </c>
      <c r="D49">
        <v>5947182.6399999997</v>
      </c>
      <c r="E49">
        <f t="shared" si="2"/>
        <v>566398.34666666668</v>
      </c>
      <c r="F49">
        <f t="shared" si="3"/>
        <v>243868.46126549449</v>
      </c>
    </row>
    <row r="50" spans="2:15" x14ac:dyDescent="0.25">
      <c r="B50" s="3">
        <v>47</v>
      </c>
      <c r="C50" s="33" t="str">
        <f t="shared" si="1"/>
        <v/>
      </c>
      <c r="D50">
        <v>3384425.23</v>
      </c>
      <c r="E50">
        <f t="shared" si="2"/>
        <v>322326.21238095238</v>
      </c>
      <c r="F50">
        <f t="shared" si="3"/>
        <v>183968.07413244288</v>
      </c>
    </row>
    <row r="51" spans="2:15" x14ac:dyDescent="0.25">
      <c r="B51" s="3">
        <v>48</v>
      </c>
      <c r="C51" s="33" t="str">
        <f t="shared" si="1"/>
        <v/>
      </c>
      <c r="D51">
        <v>4982319.97</v>
      </c>
      <c r="E51">
        <f t="shared" si="2"/>
        <v>474506.6638095238</v>
      </c>
      <c r="F51">
        <f t="shared" si="3"/>
        <v>223211.1101625544</v>
      </c>
    </row>
    <row r="52" spans="2:15" x14ac:dyDescent="0.25">
      <c r="B52" s="3">
        <v>49</v>
      </c>
      <c r="C52" s="33" t="str">
        <f t="shared" si="1"/>
        <v/>
      </c>
      <c r="D52">
        <v>3589799.35</v>
      </c>
      <c r="E52">
        <f t="shared" si="2"/>
        <v>341885.65238095238</v>
      </c>
      <c r="F52">
        <f t="shared" si="3"/>
        <v>189467.65818999294</v>
      </c>
    </row>
    <row r="53" spans="2:15" x14ac:dyDescent="0.25">
      <c r="B53" s="3">
        <v>50</v>
      </c>
      <c r="C53" s="33" t="str">
        <f t="shared" si="1"/>
        <v/>
      </c>
      <c r="D53">
        <v>4771983.71</v>
      </c>
      <c r="E53">
        <f t="shared" si="2"/>
        <v>454474.63904761907</v>
      </c>
      <c r="F53">
        <f t="shared" si="3"/>
        <v>218448.70587851969</v>
      </c>
    </row>
    <row r="54" spans="2:15" x14ac:dyDescent="0.25">
      <c r="B54" s="3">
        <v>51</v>
      </c>
      <c r="C54" s="33" t="str">
        <f t="shared" si="1"/>
        <v/>
      </c>
      <c r="D54">
        <v>4075685.03</v>
      </c>
      <c r="E54">
        <f t="shared" si="2"/>
        <v>388160.47904761904</v>
      </c>
      <c r="F54">
        <f t="shared" si="3"/>
        <v>201883.25908801847</v>
      </c>
    </row>
    <row r="55" spans="2:15" x14ac:dyDescent="0.25">
      <c r="B55" s="3">
        <v>52</v>
      </c>
      <c r="C55" s="33" t="str">
        <f t="shared" si="1"/>
        <v/>
      </c>
      <c r="D55">
        <v>3358985.17</v>
      </c>
      <c r="E55">
        <f t="shared" si="2"/>
        <v>319903.34952380951</v>
      </c>
      <c r="F55">
        <f t="shared" si="3"/>
        <v>183275.3439500251</v>
      </c>
    </row>
    <row r="56" spans="2:15" x14ac:dyDescent="0.25">
      <c r="B56" s="3">
        <v>53</v>
      </c>
      <c r="C56" s="33" t="str">
        <f t="shared" si="1"/>
        <v/>
      </c>
      <c r="D56">
        <v>3417771.57</v>
      </c>
      <c r="E56">
        <f t="shared" si="2"/>
        <v>325502.05428571429</v>
      </c>
      <c r="F56">
        <f t="shared" si="3"/>
        <v>184872.16042444031</v>
      </c>
    </row>
    <row r="57" spans="2:15" x14ac:dyDescent="0.25">
      <c r="B57" s="3">
        <v>54</v>
      </c>
      <c r="C57" s="33" t="str">
        <f t="shared" si="1"/>
        <v/>
      </c>
      <c r="D57">
        <v>3914334.35</v>
      </c>
      <c r="E57">
        <f t="shared" si="2"/>
        <v>372793.74761904764</v>
      </c>
      <c r="F57">
        <f t="shared" si="3"/>
        <v>197846.76772694569</v>
      </c>
    </row>
    <row r="58" spans="2:15" x14ac:dyDescent="0.25">
      <c r="C58" s="33" t="str">
        <f t="shared" si="1"/>
        <v/>
      </c>
      <c r="D58">
        <v>3914334.35</v>
      </c>
      <c r="E58">
        <f t="shared" si="2"/>
        <v>372793.74761904764</v>
      </c>
      <c r="F58">
        <f t="shared" si="3"/>
        <v>197846.76772694569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5"/>
  <sheetViews>
    <sheetView workbookViewId="0">
      <selection activeCell="B2" sqref="B2"/>
    </sheetView>
  </sheetViews>
  <sheetFormatPr defaultRowHeight="15" x14ac:dyDescent="0.25"/>
  <cols>
    <col min="2" max="2" width="28" customWidth="1"/>
  </cols>
  <sheetData>
    <row r="1" spans="1:2" ht="30" x14ac:dyDescent="0.25">
      <c r="A1" s="38" t="s">
        <v>111</v>
      </c>
      <c r="B1" s="39" t="s">
        <v>112</v>
      </c>
    </row>
    <row r="2" spans="1:2" x14ac:dyDescent="0.25">
      <c r="A2" s="40">
        <f>MATCH(B2, Data!$A$4:$A$57, 0)</f>
        <v>8</v>
      </c>
      <c r="B2" s="11" t="s">
        <v>130</v>
      </c>
    </row>
    <row r="3" spans="1:2" x14ac:dyDescent="0.25">
      <c r="B3" s="2">
        <f>IF(INDEX(Data!D4:Q100,1,$A$2)=0,"",INDEX(Data!D4:Q100,1,$A$2))</f>
        <v>213078</v>
      </c>
    </row>
    <row r="4" spans="1:2" x14ac:dyDescent="0.25">
      <c r="B4" s="2">
        <f>IF(INDEX(Data!D5:Q101,1,$A$2)=0,"",INDEX(Data!D5:Q101,1,$A$2))</f>
        <v>240858</v>
      </c>
    </row>
    <row r="5" spans="1:2" x14ac:dyDescent="0.25">
      <c r="B5" s="2">
        <f>IF(INDEX(Data!D6:Q102,1,$A$2)=0,"",INDEX(Data!D6:Q102,1,$A$2))</f>
        <v>282563.70000000007</v>
      </c>
    </row>
    <row r="6" spans="1:2" x14ac:dyDescent="0.25">
      <c r="B6" s="2">
        <f>IF(INDEX(Data!D7:Q103,1,$A$2)=0,"",INDEX(Data!D7:Q103,1,$A$2))</f>
        <v>227827.1</v>
      </c>
    </row>
    <row r="7" spans="1:2" x14ac:dyDescent="0.25">
      <c r="B7" s="2">
        <f>IF(INDEX(Data!D8:Q104,1,$A$2)=0,"",INDEX(Data!D8:Q104,1,$A$2))</f>
        <v>294816</v>
      </c>
    </row>
    <row r="8" spans="1:2" x14ac:dyDescent="0.25">
      <c r="B8" s="2">
        <f>IF(INDEX(Data!D9:Q105,1,$A$2)=0,"",INDEX(Data!D9:Q105,1,$A$2))</f>
        <v>359881</v>
      </c>
    </row>
    <row r="9" spans="1:2" x14ac:dyDescent="0.25">
      <c r="B9" s="2">
        <f>IF(INDEX(Data!D10:Q106,1,$A$2)=0,"",INDEX(Data!D10:Q106,1,$A$2))</f>
        <v>283609.2</v>
      </c>
    </row>
    <row r="10" spans="1:2" x14ac:dyDescent="0.25">
      <c r="B10" s="2">
        <f>IF(INDEX(Data!D11:Q107,1,$A$2)=0,"",INDEX(Data!D11:Q107,1,$A$2))</f>
        <v>303780.11</v>
      </c>
    </row>
    <row r="11" spans="1:2" x14ac:dyDescent="0.25">
      <c r="B11" s="2">
        <f>IF(INDEX(Data!D12:Q108,1,$A$2)=0,"",INDEX(Data!D12:Q108,1,$A$2))</f>
        <v>360843.95</v>
      </c>
    </row>
    <row r="12" spans="1:2" x14ac:dyDescent="0.25">
      <c r="B12" s="2">
        <f>IF(INDEX(Data!D13:Q109,1,$A$2)=0,"",INDEX(Data!D13:Q109,1,$A$2))</f>
        <v>303033.69999999995</v>
      </c>
    </row>
    <row r="13" spans="1:2" x14ac:dyDescent="0.25">
      <c r="B13" s="2">
        <f>IF(INDEX(Data!D14:Q110,1,$A$2)=0,"",INDEX(Data!D14:Q110,1,$A$2))</f>
        <v>314587.2</v>
      </c>
    </row>
    <row r="14" spans="1:2" x14ac:dyDescent="0.25">
      <c r="B14" s="2">
        <f>IF(INDEX(Data!D15:Q111,1,$A$2)=0,"",INDEX(Data!D15:Q111,1,$A$2))</f>
        <v>372885.8</v>
      </c>
    </row>
    <row r="15" spans="1:2" x14ac:dyDescent="0.25">
      <c r="B15" s="2">
        <f>IF(INDEX(Data!D16:Q112,1,$A$2)=0,"",INDEX(Data!D16:Q112,1,$A$2))</f>
        <v>306537.53999999998</v>
      </c>
    </row>
    <row r="16" spans="1:2" x14ac:dyDescent="0.25">
      <c r="B16" s="2">
        <f>IF(INDEX(Data!D17:Q113,1,$A$2)=0,"",INDEX(Data!D17:Q113,1,$A$2))</f>
        <v>289441.90000000002</v>
      </c>
    </row>
    <row r="17" spans="2:2" x14ac:dyDescent="0.25">
      <c r="B17" s="2">
        <f>IF(INDEX(Data!D18:Q114,1,$A$2)=0,"",INDEX(Data!D18:Q114,1,$A$2))</f>
        <v>324311.09999999998</v>
      </c>
    </row>
    <row r="18" spans="2:2" x14ac:dyDescent="0.25">
      <c r="B18" s="2">
        <f>IF(INDEX(Data!D19:Q115,1,$A$2)=0,"",INDEX(Data!D19:Q115,1,$A$2))</f>
        <v>284183.09999999998</v>
      </c>
    </row>
    <row r="19" spans="2:2" x14ac:dyDescent="0.25">
      <c r="B19" s="2">
        <f>IF(INDEX(Data!D20:Q116,1,$A$2)=0,"",INDEX(Data!D20:Q116,1,$A$2))</f>
        <v>274069.5</v>
      </c>
    </row>
    <row r="20" spans="2:2" x14ac:dyDescent="0.25">
      <c r="B20" s="2" t="str">
        <f>IF(INDEX(Data!D21:Q117,1,$A$2)=0,"",INDEX(Data!D21:Q117,1,$A$2))</f>
        <v/>
      </c>
    </row>
    <row r="21" spans="2:2" x14ac:dyDescent="0.25">
      <c r="B21" s="2" t="str">
        <f>IF(INDEX(Data!D22:Q118,1,$A$2)=0,"",INDEX(Data!D22:Q118,1,$A$2))</f>
        <v/>
      </c>
    </row>
    <row r="22" spans="2:2" x14ac:dyDescent="0.25">
      <c r="B22" s="2" t="str">
        <f>IF(INDEX(Data!D23:Q119,1,$A$2)=0,"",INDEX(Data!D23:Q119,1,$A$2))</f>
        <v/>
      </c>
    </row>
    <row r="23" spans="2:2" x14ac:dyDescent="0.25">
      <c r="B23" s="2" t="str">
        <f>IF(INDEX(Data!D24:Q120,1,$A$2)=0,"",INDEX(Data!D24:Q120,1,$A$2))</f>
        <v/>
      </c>
    </row>
    <row r="24" spans="2:2" x14ac:dyDescent="0.25">
      <c r="B24" s="2" t="str">
        <f>IF(INDEX(Data!D25:Q121,1,$A$2)=0,"",INDEX(Data!D25:Q121,1,$A$2))</f>
        <v/>
      </c>
    </row>
    <row r="25" spans="2:2" x14ac:dyDescent="0.25">
      <c r="B25" s="2" t="str">
        <f>IF(INDEX(Data!D26:Q122,1,$A$2)=0,"",INDEX(Data!D26:Q122,1,$A$2))</f>
        <v/>
      </c>
    </row>
    <row r="26" spans="2:2" x14ac:dyDescent="0.25">
      <c r="B26" s="2" t="str">
        <f>IF(INDEX(Data!D27:Q123,1,$A$2)=0,"",INDEX(Data!D27:Q123,1,$A$2))</f>
        <v/>
      </c>
    </row>
    <row r="27" spans="2:2" x14ac:dyDescent="0.25">
      <c r="B27" s="2" t="str">
        <f>IF(INDEX(Data!D28:Q124,1,$A$2)=0,"",INDEX(Data!D28:Q124,1,$A$2))</f>
        <v/>
      </c>
    </row>
    <row r="28" spans="2:2" x14ac:dyDescent="0.25">
      <c r="B28" s="2" t="str">
        <f>IF(INDEX(Data!D29:Q125,1,$A$2)=0,"",INDEX(Data!D29:Q125,1,$A$2))</f>
        <v/>
      </c>
    </row>
    <row r="29" spans="2:2" x14ac:dyDescent="0.25">
      <c r="B29" s="2" t="str">
        <f>IF(INDEX(Data!D30:Q126,1,$A$2)=0,"",INDEX(Data!D30:Q126,1,$A$2))</f>
        <v/>
      </c>
    </row>
    <row r="30" spans="2:2" x14ac:dyDescent="0.25">
      <c r="B30" s="2" t="str">
        <f>IF(INDEX(Data!D31:Q127,1,$A$2)=0,"",INDEX(Data!D31:Q127,1,$A$2))</f>
        <v/>
      </c>
    </row>
    <row r="31" spans="2:2" x14ac:dyDescent="0.25">
      <c r="B31" s="2" t="str">
        <f>IF(INDEX(Data!D32:Q128,1,$A$2)=0,"",INDEX(Data!D32:Q128,1,$A$2))</f>
        <v/>
      </c>
    </row>
    <row r="32" spans="2:2" x14ac:dyDescent="0.25">
      <c r="B32" s="2" t="str">
        <f>IF(INDEX(Data!D33:Q129,1,$A$2)=0,"",INDEX(Data!D33:Q129,1,$A$2))</f>
        <v/>
      </c>
    </row>
    <row r="33" spans="2:2" x14ac:dyDescent="0.25">
      <c r="B33" s="2" t="str">
        <f>IF(INDEX(Data!D34:Q130,1,$A$2)=0,"",INDEX(Data!D34:Q130,1,$A$2))</f>
        <v/>
      </c>
    </row>
    <row r="34" spans="2:2" x14ac:dyDescent="0.25">
      <c r="B34" s="2" t="str">
        <f>IF(INDEX(Data!D35:Q131,1,$A$2)=0,"",INDEX(Data!D35:Q131,1,$A$2))</f>
        <v/>
      </c>
    </row>
    <row r="35" spans="2:2" x14ac:dyDescent="0.25">
      <c r="B35" s="2" t="str">
        <f>IF(INDEX(Data!D36:Q132,1,$A$2)=0,"",INDEX(Data!D36:Q132,1,$A$2))</f>
        <v/>
      </c>
    </row>
    <row r="36" spans="2:2" x14ac:dyDescent="0.25">
      <c r="B36" s="2" t="str">
        <f>IF(INDEX(Data!D37:Q133,1,$A$2)=0,"",INDEX(Data!D37:Q133,1,$A$2))</f>
        <v/>
      </c>
    </row>
    <row r="37" spans="2:2" x14ac:dyDescent="0.25">
      <c r="B37" s="2" t="str">
        <f>IF(INDEX(Data!D38:Q134,1,$A$2)=0,"",INDEX(Data!D38:Q134,1,$A$2))</f>
        <v/>
      </c>
    </row>
    <row r="38" spans="2:2" x14ac:dyDescent="0.25">
      <c r="B38" s="2" t="str">
        <f>IF(INDEX(Data!D39:Q135,1,$A$2)=0,"",INDEX(Data!D39:Q135,1,$A$2))</f>
        <v/>
      </c>
    </row>
    <row r="39" spans="2:2" x14ac:dyDescent="0.25">
      <c r="B39" s="2" t="str">
        <f>IF(INDEX(Data!D40:Q136,1,$A$2)=0,"",INDEX(Data!D40:Q136,1,$A$2))</f>
        <v/>
      </c>
    </row>
    <row r="40" spans="2:2" x14ac:dyDescent="0.25">
      <c r="B40" s="2" t="str">
        <f>IF(INDEX(Data!D41:Q137,1,$A$2)=0,"",INDEX(Data!D41:Q137,1,$A$2))</f>
        <v/>
      </c>
    </row>
    <row r="41" spans="2:2" x14ac:dyDescent="0.25">
      <c r="B41" s="2" t="str">
        <f>IF(INDEX(Data!D42:Q138,1,$A$2)=0,"",INDEX(Data!D42:Q138,1,$A$2))</f>
        <v/>
      </c>
    </row>
    <row r="42" spans="2:2" x14ac:dyDescent="0.25">
      <c r="B42" s="2" t="str">
        <f>IF(INDEX(Data!D43:Q139,1,$A$2)=0,"",INDEX(Data!D43:Q139,1,$A$2))</f>
        <v/>
      </c>
    </row>
    <row r="43" spans="2:2" x14ac:dyDescent="0.25">
      <c r="B43" s="2" t="str">
        <f>IF(INDEX(Data!D44:Q140,1,$A$2)=0,"",INDEX(Data!D44:Q140,1,$A$2))</f>
        <v/>
      </c>
    </row>
    <row r="44" spans="2:2" x14ac:dyDescent="0.25">
      <c r="B44" s="2" t="str">
        <f>IF(INDEX(Data!D45:Q141,1,$A$2)=0,"",INDEX(Data!D45:Q141,1,$A$2))</f>
        <v/>
      </c>
    </row>
    <row r="45" spans="2:2" x14ac:dyDescent="0.25">
      <c r="B45" s="2" t="str">
        <f>IF(INDEX(Data!D46:Q142,1,$A$2)=0,"",INDEX(Data!D46:Q142,1,$A$2))</f>
        <v/>
      </c>
    </row>
    <row r="46" spans="2:2" x14ac:dyDescent="0.25">
      <c r="B46" s="2" t="str">
        <f>IF(INDEX(Data!D47:Q143,1,$A$2)=0,"",INDEX(Data!D47:Q143,1,$A$2))</f>
        <v/>
      </c>
    </row>
    <row r="47" spans="2:2" x14ac:dyDescent="0.25">
      <c r="B47" s="2" t="str">
        <f>IF(INDEX(Data!D48:Q144,1,$A$2)=0,"",INDEX(Data!D48:Q144,1,$A$2))</f>
        <v/>
      </c>
    </row>
    <row r="48" spans="2:2" x14ac:dyDescent="0.25">
      <c r="B48" s="2" t="str">
        <f>IF(INDEX(Data!D49:Q145,1,$A$2)=0,"",INDEX(Data!D49:Q145,1,$A$2))</f>
        <v/>
      </c>
    </row>
    <row r="49" spans="2:2" x14ac:dyDescent="0.25">
      <c r="B49" s="2" t="str">
        <f>IF(INDEX(Data!D50:Q146,1,$A$2)=0,"",INDEX(Data!D50:Q146,1,$A$2))</f>
        <v/>
      </c>
    </row>
    <row r="50" spans="2:2" x14ac:dyDescent="0.25">
      <c r="B50" s="2" t="str">
        <f>IF(INDEX(Data!D51:Q147,1,$A$2)=0,"",INDEX(Data!D51:Q147,1,$A$2))</f>
        <v/>
      </c>
    </row>
    <row r="51" spans="2:2" x14ac:dyDescent="0.25">
      <c r="B51" s="2" t="str">
        <f>IF(INDEX(Data!D52:Q148,1,$A$2)=0,"",INDEX(Data!D52:Q148,1,$A$2))</f>
        <v/>
      </c>
    </row>
    <row r="52" spans="2:2" x14ac:dyDescent="0.25">
      <c r="B52" s="2" t="str">
        <f>IF(INDEX(Data!D53:Q149,1,$A$2)=0,"",INDEX(Data!D53:Q149,1,$A$2))</f>
        <v/>
      </c>
    </row>
    <row r="53" spans="2:2" x14ac:dyDescent="0.25">
      <c r="B53" s="2" t="str">
        <f>IF(INDEX(Data!D54:Q150,1,$A$2)=0,"",INDEX(Data!D54:Q150,1,$A$2))</f>
        <v/>
      </c>
    </row>
    <row r="54" spans="2:2" x14ac:dyDescent="0.25">
      <c r="B54" s="2" t="str">
        <f>IF(INDEX(Data!D55:Q151,1,$A$2)=0,"",INDEX(Data!D55:Q151,1,$A$2))</f>
        <v/>
      </c>
    </row>
    <row r="55" spans="2:2" x14ac:dyDescent="0.25">
      <c r="B55" s="2" t="str">
        <f>IF(INDEX(Data!D56:Q152,1,$A$2)=0,"",INDEX(Data!D56:Q152,1,$A$2))</f>
        <v/>
      </c>
    </row>
    <row r="56" spans="2:2" x14ac:dyDescent="0.25">
      <c r="B56" s="2" t="str">
        <f>IF(INDEX(Data!D57:Q153,1,$A$2)=0,"",INDEX(Data!D57:Q153,1,$A$2))</f>
        <v/>
      </c>
    </row>
    <row r="57" spans="2:2" x14ac:dyDescent="0.25">
      <c r="B57" s="2" t="str">
        <f>IF(INDEX(Data!D58:Q154,1,$A$2)=0,"",INDEX(Data!D58:Q154,1,$A$2))</f>
        <v/>
      </c>
    </row>
    <row r="58" spans="2:2" x14ac:dyDescent="0.25">
      <c r="B58" s="2" t="str">
        <f>IF(INDEX(Data!D59:Q155,1,$A$2)=0,"",INDEX(Data!D59:Q155,1,$A$2))</f>
        <v/>
      </c>
    </row>
    <row r="59" spans="2:2" x14ac:dyDescent="0.25">
      <c r="B59" s="2" t="str">
        <f>IF(INDEX(Data!D60:Q156,1,$A$2)=0,"",INDEX(Data!D60:Q156,1,$A$2))</f>
        <v/>
      </c>
    </row>
    <row r="60" spans="2:2" x14ac:dyDescent="0.25">
      <c r="B60" s="2" t="str">
        <f>IF(INDEX(Data!D61:Q157,1,$A$2)=0,"",INDEX(Data!D61:Q157,1,$A$2))</f>
        <v/>
      </c>
    </row>
    <row r="61" spans="2:2" x14ac:dyDescent="0.25">
      <c r="B61" s="2" t="str">
        <f>IF(INDEX(Data!D62:Q158,1,$A$2)=0,"",INDEX(Data!D62:Q158,1,$A$2))</f>
        <v/>
      </c>
    </row>
    <row r="62" spans="2:2" x14ac:dyDescent="0.25">
      <c r="B62" s="2" t="str">
        <f>IF(INDEX(Data!D63:Q159,1,$A$2)=0,"",INDEX(Data!D63:Q159,1,$A$2))</f>
        <v/>
      </c>
    </row>
    <row r="63" spans="2:2" x14ac:dyDescent="0.25">
      <c r="B63" s="2" t="str">
        <f>IF(INDEX(Data!D64:Q160,1,$A$2)=0,"",INDEX(Data!D64:Q160,1,$A$2))</f>
        <v/>
      </c>
    </row>
    <row r="64" spans="2:2" x14ac:dyDescent="0.25">
      <c r="B64" s="2" t="str">
        <f>IF(INDEX(Data!D65:Q161,1,$A$2)=0,"",INDEX(Data!D65:Q161,1,$A$2))</f>
        <v/>
      </c>
    </row>
    <row r="65" spans="2:2" x14ac:dyDescent="0.25">
      <c r="B65" s="2" t="str">
        <f>IF(INDEX(Data!D66:Q162,1,$A$2)=0,"",INDEX(Data!D66:Q162,1,$A$2))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Data!$A$4:$A$57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0"/>
  <sheetViews>
    <sheetView topLeftCell="A8" workbookViewId="0">
      <selection activeCell="I32" sqref="I32"/>
    </sheetView>
  </sheetViews>
  <sheetFormatPr defaultRowHeight="15" x14ac:dyDescent="0.25"/>
  <cols>
    <col min="1" max="1" width="8.85546875" style="3"/>
    <col min="2" max="2" width="14.7109375" customWidth="1"/>
    <col min="3" max="3" width="13.28515625" style="13" bestFit="1" customWidth="1"/>
    <col min="4" max="4" width="11.5703125" style="13" bestFit="1" customWidth="1"/>
    <col min="5" max="5" width="11" style="13" bestFit="1" customWidth="1"/>
    <col min="6" max="6" width="14.5703125" bestFit="1" customWidth="1"/>
    <col min="8" max="8" width="10" bestFit="1" customWidth="1"/>
    <col min="10" max="10" width="11" bestFit="1" customWidth="1"/>
    <col min="11" max="11" width="12.5703125" bestFit="1" customWidth="1"/>
    <col min="12" max="12" width="12.5703125" customWidth="1"/>
    <col min="13" max="13" width="10.7109375" bestFit="1" customWidth="1"/>
    <col min="14" max="14" width="12.5703125" bestFit="1" customWidth="1"/>
  </cols>
  <sheetData>
    <row r="1" spans="1:15" ht="30" x14ac:dyDescent="0.25">
      <c r="A1" s="38" t="s">
        <v>111</v>
      </c>
      <c r="B1" s="39" t="s">
        <v>113</v>
      </c>
    </row>
    <row r="2" spans="1:15" x14ac:dyDescent="0.25">
      <c r="A2" s="40">
        <f>Data!C2</f>
        <v>8</v>
      </c>
      <c r="B2" s="7" t="str">
        <f>Select_Data!B2</f>
        <v>Cost-yt8</v>
      </c>
    </row>
    <row r="3" spans="1:15" ht="45" x14ac:dyDescent="0.25">
      <c r="A3" s="9" t="s">
        <v>99</v>
      </c>
      <c r="B3" s="9" t="s">
        <v>88</v>
      </c>
      <c r="C3" s="9" t="s">
        <v>90</v>
      </c>
      <c r="D3" s="9" t="s">
        <v>93</v>
      </c>
      <c r="E3" s="9" t="s">
        <v>92</v>
      </c>
      <c r="F3" s="9" t="s">
        <v>95</v>
      </c>
      <c r="G3" s="9" t="s">
        <v>94</v>
      </c>
      <c r="H3" s="19" t="s">
        <v>103</v>
      </c>
      <c r="I3" s="19" t="s">
        <v>104</v>
      </c>
      <c r="J3" s="36" t="s">
        <v>105</v>
      </c>
      <c r="K3" s="36" t="s">
        <v>106</v>
      </c>
      <c r="L3" s="36"/>
      <c r="M3" s="36" t="s">
        <v>108</v>
      </c>
      <c r="N3" s="36" t="s">
        <v>109</v>
      </c>
      <c r="O3" s="36" t="s">
        <v>110</v>
      </c>
    </row>
    <row r="4" spans="1:15" x14ac:dyDescent="0.25">
      <c r="A4" s="34" t="s">
        <v>98</v>
      </c>
      <c r="B4" s="20">
        <f>CORREL(B7:B60,C7:C60)</f>
        <v>0.77952228702169946</v>
      </c>
      <c r="C4" s="20">
        <f>CORREL(B7:B58,D8:D59)</f>
        <v>0.71160658716181469</v>
      </c>
      <c r="D4" s="7">
        <f>SQRT(SUMXMY2($B$6:$B$58,$C$7:$C$59)/COUNT($C$7:$C$59))</f>
        <v>24432.841979400724</v>
      </c>
      <c r="E4" s="7">
        <f>SQRT(SUMXMY2($B$6:$B$58,$D$7:$D$59)/COUNT($D$7:$D$59))</f>
        <v>27532.49347107</v>
      </c>
      <c r="F4" s="8">
        <f>SUM($E$7:$E$59)/COUNT($E$7:$E$59)</f>
        <v>22062.493749999998</v>
      </c>
      <c r="G4" s="8">
        <f>SUM($F$8:$F$59)/COUNT($F$8:$F$59)</f>
        <v>28172.422222222223</v>
      </c>
      <c r="H4" s="18">
        <f>AVERAGE(G7:G60)</f>
        <v>7.7091798644025655E-2</v>
      </c>
      <c r="I4" s="18">
        <f>AVERAGE(H7:H60)</f>
        <v>9.0798024083937348E-2</v>
      </c>
      <c r="J4">
        <f ca="1">(INDIRECT(CONCATENATE("B",COUNT($B$6:$B$59)+3))+INDIRECT(CONCATENATE("B",COUNT($B$6:$B$59)+3)))/2</f>
        <v>324311.09999999998</v>
      </c>
      <c r="K4">
        <f ca="1">(INDIRECT(CONCATENATE("B",COUNT($B$6:$B$59)+3))+INDIRECT(CONCATENATE("B",COUNT($B$6:$B$59)+3))+INDIRECT(CONCATENATE("B",COUNT($B$6:$B$59)+2)))/3</f>
        <v>312688.03333333333</v>
      </c>
      <c r="M4" t="str">
        <f>CONCATENATE("B6:B",COUNT($B$6:$B$60)+5)</f>
        <v>B6:B22</v>
      </c>
      <c r="N4" t="str">
        <f>CONCATENATE("C6:C",COUNT($C$6:$C$60)+6)</f>
        <v>C6:C22</v>
      </c>
      <c r="O4" t="str">
        <f>CONCATENATE("D6:D",COUNT($D$6:$D$60)+7)</f>
        <v>D6:D22</v>
      </c>
    </row>
    <row r="5" spans="1:15" ht="30" x14ac:dyDescent="0.25">
      <c r="A5" s="6" t="str">
        <f>Data!B3</f>
        <v xml:space="preserve"> t</v>
      </c>
      <c r="B5" s="6" t="str">
        <f>Data!D3</f>
        <v>Cost-yt1</v>
      </c>
      <c r="C5" s="14" t="s">
        <v>91</v>
      </c>
      <c r="D5" s="14" t="s">
        <v>89</v>
      </c>
      <c r="E5" s="14" t="s">
        <v>96</v>
      </c>
      <c r="F5" s="14" t="s">
        <v>97</v>
      </c>
      <c r="G5" s="14" t="s">
        <v>101</v>
      </c>
      <c r="H5" s="14" t="s">
        <v>102</v>
      </c>
    </row>
    <row r="6" spans="1:15" x14ac:dyDescent="0.25">
      <c r="A6" s="3">
        <f>Data!B4</f>
        <v>1</v>
      </c>
      <c r="B6" s="7">
        <f>Data!C4</f>
        <v>213078</v>
      </c>
      <c r="C6" s="15"/>
      <c r="D6" s="7"/>
      <c r="E6"/>
    </row>
    <row r="7" spans="1:15" x14ac:dyDescent="0.25">
      <c r="A7" s="3">
        <f>Data!B5</f>
        <v>2</v>
      </c>
      <c r="B7" s="7">
        <f>Data!C5</f>
        <v>240858</v>
      </c>
      <c r="C7" s="13">
        <f>IF(B7="","",(B6+B7)/2)</f>
        <v>226968</v>
      </c>
      <c r="D7" s="15"/>
      <c r="E7" s="8">
        <f>IF(B7="","",ABS(C7-B7))</f>
        <v>13890</v>
      </c>
      <c r="F7" s="8"/>
      <c r="G7" s="17">
        <f>IF(B8="","",E7/B7)</f>
        <v>5.7668833918740503E-2</v>
      </c>
      <c r="H7" s="17"/>
    </row>
    <row r="8" spans="1:15" x14ac:dyDescent="0.25">
      <c r="A8" s="3">
        <f>Data!B6</f>
        <v>3</v>
      </c>
      <c r="B8" s="7">
        <f>Data!C6</f>
        <v>282563.70000000007</v>
      </c>
      <c r="C8" s="13">
        <f t="shared" ref="C8:C60" si="0">IF(B8="","",(B7+B8)/2)</f>
        <v>261710.85000000003</v>
      </c>
      <c r="D8" s="12">
        <f>IF(B8="","",(B6+B7+B8)/3)</f>
        <v>245499.90000000002</v>
      </c>
      <c r="E8" s="8">
        <f t="shared" ref="E8:E59" si="1">IF(B8="","",ABS(C8-B8))</f>
        <v>20852.850000000035</v>
      </c>
      <c r="F8" s="8">
        <f>IF(B8="","",ABS(D8-B8))</f>
        <v>37063.800000000047</v>
      </c>
      <c r="G8" s="17">
        <f t="shared" ref="G8:G60" si="2">IF(B9="","",E8/B8)</f>
        <v>7.3798757589881608E-2</v>
      </c>
      <c r="H8" s="17">
        <f>IF(B8="","",F8/B8)</f>
        <v>0.13116971500585545</v>
      </c>
    </row>
    <row r="9" spans="1:15" x14ac:dyDescent="0.25">
      <c r="A9" s="3">
        <f>Data!B7</f>
        <v>4</v>
      </c>
      <c r="B9" s="7">
        <f>Data!C7</f>
        <v>227827.1</v>
      </c>
      <c r="C9" s="13">
        <f t="shared" si="0"/>
        <v>255195.40000000002</v>
      </c>
      <c r="D9" s="12">
        <f t="shared" ref="D9:D60" si="3">IF(B9="","",(B7+B8+B9)/3)</f>
        <v>250416.26666666669</v>
      </c>
      <c r="E9" s="8">
        <f t="shared" si="1"/>
        <v>27368.300000000017</v>
      </c>
      <c r="F9" s="8">
        <f t="shared" ref="F9:F59" si="4">IF(B9="","",ABS(D9-B9))</f>
        <v>22589.166666666686</v>
      </c>
      <c r="G9" s="17">
        <f t="shared" si="2"/>
        <v>0.12012750019642096</v>
      </c>
      <c r="H9" s="17">
        <f t="shared" ref="H9:H60" si="5">IF(B9="","",F9/B9)</f>
        <v>9.9150481512808114E-2</v>
      </c>
    </row>
    <row r="10" spans="1:15" x14ac:dyDescent="0.25">
      <c r="A10" s="3">
        <f>Data!B8</f>
        <v>5</v>
      </c>
      <c r="B10" s="7">
        <f>Data!C8</f>
        <v>294816</v>
      </c>
      <c r="C10" s="13">
        <f t="shared" si="0"/>
        <v>261321.55</v>
      </c>
      <c r="D10" s="12">
        <f t="shared" si="3"/>
        <v>268402.26666666666</v>
      </c>
      <c r="E10" s="8">
        <f t="shared" si="1"/>
        <v>33494.450000000012</v>
      </c>
      <c r="F10" s="8">
        <f t="shared" si="4"/>
        <v>26413.733333333337</v>
      </c>
      <c r="G10" s="17">
        <f t="shared" si="2"/>
        <v>0.11361137116031698</v>
      </c>
      <c r="H10" s="17">
        <f t="shared" si="5"/>
        <v>8.9593961431310848E-2</v>
      </c>
    </row>
    <row r="11" spans="1:15" x14ac:dyDescent="0.25">
      <c r="A11" s="3">
        <f>Data!B9</f>
        <v>6</v>
      </c>
      <c r="B11" s="7">
        <f>Data!C9</f>
        <v>359881</v>
      </c>
      <c r="C11" s="13">
        <f t="shared" si="0"/>
        <v>327348.5</v>
      </c>
      <c r="D11" s="12">
        <f t="shared" si="3"/>
        <v>294174.7</v>
      </c>
      <c r="E11" s="8">
        <f t="shared" si="1"/>
        <v>32532.5</v>
      </c>
      <c r="F11" s="8">
        <f t="shared" si="4"/>
        <v>65706.299999999988</v>
      </c>
      <c r="G11" s="17">
        <f t="shared" si="2"/>
        <v>9.0397937095873362E-2</v>
      </c>
      <c r="H11" s="17">
        <f t="shared" si="5"/>
        <v>0.18257785212334074</v>
      </c>
    </row>
    <row r="12" spans="1:15" x14ac:dyDescent="0.25">
      <c r="A12" s="3">
        <f>Data!B10</f>
        <v>7</v>
      </c>
      <c r="B12" s="7">
        <f>Data!C10</f>
        <v>283609.2</v>
      </c>
      <c r="C12" s="13">
        <f t="shared" si="0"/>
        <v>321745.09999999998</v>
      </c>
      <c r="D12" s="12">
        <f t="shared" si="3"/>
        <v>312768.73333333334</v>
      </c>
      <c r="E12" s="8">
        <f t="shared" si="1"/>
        <v>38135.899999999965</v>
      </c>
      <c r="F12" s="8">
        <f t="shared" si="4"/>
        <v>29159.533333333326</v>
      </c>
      <c r="G12" s="17">
        <f t="shared" si="2"/>
        <v>0.13446637133069014</v>
      </c>
      <c r="H12" s="17">
        <f t="shared" si="5"/>
        <v>0.10281589360758862</v>
      </c>
    </row>
    <row r="13" spans="1:15" x14ac:dyDescent="0.25">
      <c r="A13" s="3">
        <f>Data!B11</f>
        <v>8</v>
      </c>
      <c r="B13" s="7">
        <f>Data!C11</f>
        <v>303780.11</v>
      </c>
      <c r="C13" s="13">
        <f t="shared" si="0"/>
        <v>293694.65500000003</v>
      </c>
      <c r="D13" s="12">
        <f t="shared" si="3"/>
        <v>315756.76999999996</v>
      </c>
      <c r="E13" s="8">
        <f t="shared" si="1"/>
        <v>10085.454999999958</v>
      </c>
      <c r="F13" s="8">
        <f t="shared" si="4"/>
        <v>11976.659999999974</v>
      </c>
      <c r="G13" s="17">
        <f t="shared" si="2"/>
        <v>3.319985301210128E-2</v>
      </c>
      <c r="H13" s="17">
        <f t="shared" si="5"/>
        <v>3.9425425186658779E-2</v>
      </c>
    </row>
    <row r="14" spans="1:15" x14ac:dyDescent="0.25">
      <c r="A14" s="3">
        <f>Data!B12</f>
        <v>9</v>
      </c>
      <c r="B14" s="7">
        <f>Data!C12</f>
        <v>360843.95</v>
      </c>
      <c r="C14" s="13">
        <f t="shared" si="0"/>
        <v>332312.03000000003</v>
      </c>
      <c r="D14" s="12">
        <f t="shared" si="3"/>
        <v>316077.75333333336</v>
      </c>
      <c r="E14" s="8">
        <f t="shared" si="1"/>
        <v>28531.919999999984</v>
      </c>
      <c r="F14" s="8">
        <f t="shared" si="4"/>
        <v>44766.196666666656</v>
      </c>
      <c r="G14" s="17">
        <f t="shared" si="2"/>
        <v>7.9069969165341369E-2</v>
      </c>
      <c r="H14" s="17">
        <f t="shared" si="5"/>
        <v>0.12405971242324183</v>
      </c>
    </row>
    <row r="15" spans="1:15" x14ac:dyDescent="0.25">
      <c r="A15" s="3">
        <f>Data!B13</f>
        <v>10</v>
      </c>
      <c r="B15" s="7">
        <f>Data!C13</f>
        <v>303033.69999999995</v>
      </c>
      <c r="C15" s="13">
        <f t="shared" si="0"/>
        <v>331938.82499999995</v>
      </c>
      <c r="D15" s="12">
        <f t="shared" si="3"/>
        <v>322552.58666666667</v>
      </c>
      <c r="E15" s="8">
        <f t="shared" si="1"/>
        <v>28905.125</v>
      </c>
      <c r="F15" s="8">
        <f t="shared" si="4"/>
        <v>19518.886666666716</v>
      </c>
      <c r="G15" s="17">
        <f t="shared" si="2"/>
        <v>9.5385843224697467E-2</v>
      </c>
      <c r="H15" s="17">
        <f t="shared" si="5"/>
        <v>6.4411603945919937E-2</v>
      </c>
    </row>
    <row r="16" spans="1:15" x14ac:dyDescent="0.25">
      <c r="A16" s="3">
        <f>Data!B14</f>
        <v>11</v>
      </c>
      <c r="B16" s="7">
        <f>Data!C14</f>
        <v>314587.2</v>
      </c>
      <c r="C16" s="13">
        <f t="shared" si="0"/>
        <v>308810.44999999995</v>
      </c>
      <c r="D16" s="12">
        <f t="shared" si="3"/>
        <v>326154.94999999995</v>
      </c>
      <c r="E16" s="8">
        <f t="shared" si="1"/>
        <v>5776.7500000000582</v>
      </c>
      <c r="F16" s="8">
        <f t="shared" si="4"/>
        <v>11567.749999999942</v>
      </c>
      <c r="G16" s="17">
        <f t="shared" si="2"/>
        <v>1.8362953101715703E-2</v>
      </c>
      <c r="H16" s="17">
        <f t="shared" si="5"/>
        <v>3.6771203659907145E-2</v>
      </c>
    </row>
    <row r="17" spans="1:10" x14ac:dyDescent="0.25">
      <c r="A17" s="3">
        <f>Data!B15</f>
        <v>12</v>
      </c>
      <c r="B17" s="7">
        <f>Data!C15</f>
        <v>372885.8</v>
      </c>
      <c r="C17" s="13">
        <f t="shared" si="0"/>
        <v>343736.5</v>
      </c>
      <c r="D17" s="12">
        <f t="shared" si="3"/>
        <v>330168.89999999997</v>
      </c>
      <c r="E17" s="8">
        <f t="shared" si="1"/>
        <v>29149.299999999988</v>
      </c>
      <c r="F17" s="8">
        <f t="shared" si="4"/>
        <v>42716.900000000023</v>
      </c>
      <c r="G17" s="17">
        <f t="shared" si="2"/>
        <v>7.8172191056886553E-2</v>
      </c>
      <c r="H17" s="17">
        <f t="shared" si="5"/>
        <v>0.11455759377267792</v>
      </c>
    </row>
    <row r="18" spans="1:10" x14ac:dyDescent="0.25">
      <c r="A18" s="3">
        <f>Data!B16</f>
        <v>13</v>
      </c>
      <c r="B18" s="7">
        <f>Data!C16</f>
        <v>306537.53999999998</v>
      </c>
      <c r="C18" s="13">
        <f t="shared" si="0"/>
        <v>339711.67</v>
      </c>
      <c r="D18" s="12">
        <f t="shared" si="3"/>
        <v>331336.84666666668</v>
      </c>
      <c r="E18" s="8">
        <f t="shared" si="1"/>
        <v>33174.130000000005</v>
      </c>
      <c r="F18" s="8">
        <f t="shared" si="4"/>
        <v>24799.3066666667</v>
      </c>
      <c r="G18" s="17">
        <f t="shared" si="2"/>
        <v>0.10822207942296401</v>
      </c>
      <c r="H18" s="17">
        <f t="shared" si="5"/>
        <v>8.0901369100393708E-2</v>
      </c>
    </row>
    <row r="19" spans="1:10" x14ac:dyDescent="0.25">
      <c r="A19" s="3">
        <f>Data!B17</f>
        <v>14</v>
      </c>
      <c r="B19" s="7">
        <f>Data!C17</f>
        <v>289441.90000000002</v>
      </c>
      <c r="C19" s="13">
        <f t="shared" si="0"/>
        <v>297989.71999999997</v>
      </c>
      <c r="D19" s="12">
        <f t="shared" si="3"/>
        <v>322955.08</v>
      </c>
      <c r="E19" s="8">
        <f t="shared" si="1"/>
        <v>8547.8199999999488</v>
      </c>
      <c r="F19" s="8">
        <f t="shared" si="4"/>
        <v>33513.179999999993</v>
      </c>
      <c r="G19" s="17">
        <f t="shared" si="2"/>
        <v>2.9532075349145884E-2</v>
      </c>
      <c r="H19" s="17">
        <f t="shared" si="5"/>
        <v>0.1157855168861177</v>
      </c>
    </row>
    <row r="20" spans="1:10" x14ac:dyDescent="0.25">
      <c r="A20" s="3">
        <f>Data!B18</f>
        <v>15</v>
      </c>
      <c r="B20" s="7">
        <f>Data!C18</f>
        <v>324311.09999999998</v>
      </c>
      <c r="C20" s="13">
        <f t="shared" si="0"/>
        <v>306876.5</v>
      </c>
      <c r="D20" s="12">
        <f t="shared" si="3"/>
        <v>306763.51333333331</v>
      </c>
      <c r="E20" s="8">
        <f t="shared" si="1"/>
        <v>17434.599999999977</v>
      </c>
      <c r="F20" s="8">
        <f t="shared" si="4"/>
        <v>17547.58666666667</v>
      </c>
      <c r="G20" s="17">
        <f t="shared" si="2"/>
        <v>5.3758875351475721E-2</v>
      </c>
      <c r="H20" s="17">
        <f t="shared" si="5"/>
        <v>5.410726511262387E-2</v>
      </c>
    </row>
    <row r="21" spans="1:10" x14ac:dyDescent="0.25">
      <c r="A21" s="3">
        <f>Data!B19</f>
        <v>16</v>
      </c>
      <c r="B21" s="7">
        <f>Data!C19</f>
        <v>284183.09999999998</v>
      </c>
      <c r="C21" s="13">
        <f t="shared" si="0"/>
        <v>304247.09999999998</v>
      </c>
      <c r="D21" s="12">
        <f t="shared" si="3"/>
        <v>299312.03333333333</v>
      </c>
      <c r="E21" s="8">
        <f t="shared" si="1"/>
        <v>20064</v>
      </c>
      <c r="F21" s="8">
        <f t="shared" si="4"/>
        <v>15128.933333333349</v>
      </c>
      <c r="G21" s="17">
        <f t="shared" si="2"/>
        <v>7.0602368684133582E-2</v>
      </c>
      <c r="H21" s="17">
        <f t="shared" si="5"/>
        <v>5.3236569427715263E-2</v>
      </c>
    </row>
    <row r="22" spans="1:10" x14ac:dyDescent="0.25">
      <c r="A22" s="3">
        <f>Data!B20</f>
        <v>17</v>
      </c>
      <c r="B22" s="7">
        <f>Data!C20</f>
        <v>274069.5</v>
      </c>
      <c r="C22" s="13">
        <f t="shared" si="0"/>
        <v>279126.3</v>
      </c>
      <c r="D22" s="12">
        <f t="shared" si="3"/>
        <v>294187.89999999997</v>
      </c>
      <c r="E22" s="8">
        <f t="shared" si="1"/>
        <v>5056.7999999999884</v>
      </c>
      <c r="F22" s="8">
        <f t="shared" si="4"/>
        <v>20118.399999999965</v>
      </c>
      <c r="G22" s="17" t="str">
        <f t="shared" si="2"/>
        <v/>
      </c>
      <c r="H22" s="17">
        <f t="shared" si="5"/>
        <v>7.3406198062899983E-2</v>
      </c>
    </row>
    <row r="23" spans="1:10" x14ac:dyDescent="0.25">
      <c r="A23" s="3">
        <f>Data!B21</f>
        <v>18</v>
      </c>
      <c r="B23" s="7" t="str">
        <f>Data!C21</f>
        <v/>
      </c>
      <c r="C23" s="13" t="str">
        <f t="shared" si="0"/>
        <v/>
      </c>
      <c r="D23" s="12" t="str">
        <f t="shared" si="3"/>
        <v/>
      </c>
      <c r="E23" s="8" t="str">
        <f t="shared" si="1"/>
        <v/>
      </c>
      <c r="F23" s="8" t="str">
        <f t="shared" si="4"/>
        <v/>
      </c>
      <c r="G23" s="17" t="str">
        <f t="shared" si="2"/>
        <v/>
      </c>
      <c r="H23" s="17" t="str">
        <f t="shared" si="5"/>
        <v/>
      </c>
    </row>
    <row r="24" spans="1:10" x14ac:dyDescent="0.25">
      <c r="A24" s="3">
        <f>Data!B22</f>
        <v>19</v>
      </c>
      <c r="B24" s="7" t="str">
        <f>Data!C22</f>
        <v/>
      </c>
      <c r="C24" s="13" t="str">
        <f t="shared" si="0"/>
        <v/>
      </c>
      <c r="D24" s="12" t="str">
        <f t="shared" si="3"/>
        <v/>
      </c>
      <c r="E24" s="8" t="str">
        <f t="shared" si="1"/>
        <v/>
      </c>
      <c r="F24" s="8" t="str">
        <f t="shared" si="4"/>
        <v/>
      </c>
      <c r="G24" s="17" t="str">
        <f t="shared" si="2"/>
        <v/>
      </c>
      <c r="H24" s="17" t="str">
        <f t="shared" si="5"/>
        <v/>
      </c>
    </row>
    <row r="25" spans="1:10" x14ac:dyDescent="0.25">
      <c r="A25" s="3">
        <f>Data!B23</f>
        <v>20</v>
      </c>
      <c r="B25" s="7" t="str">
        <f>Data!C23</f>
        <v/>
      </c>
      <c r="C25" s="13" t="str">
        <f t="shared" si="0"/>
        <v/>
      </c>
      <c r="D25" s="12" t="str">
        <f t="shared" si="3"/>
        <v/>
      </c>
      <c r="E25" s="8" t="str">
        <f t="shared" si="1"/>
        <v/>
      </c>
      <c r="F25" s="8" t="str">
        <f t="shared" si="4"/>
        <v/>
      </c>
      <c r="G25" s="17" t="str">
        <f t="shared" si="2"/>
        <v/>
      </c>
      <c r="H25" s="17" t="str">
        <f t="shared" si="5"/>
        <v/>
      </c>
    </row>
    <row r="26" spans="1:10" x14ac:dyDescent="0.25">
      <c r="A26" s="3">
        <f>Data!B24</f>
        <v>21</v>
      </c>
      <c r="B26" s="7" t="str">
        <f>Data!C24</f>
        <v/>
      </c>
      <c r="C26" s="13" t="str">
        <f t="shared" si="0"/>
        <v/>
      </c>
      <c r="D26" s="12" t="str">
        <f t="shared" si="3"/>
        <v/>
      </c>
      <c r="E26" s="8" t="str">
        <f t="shared" si="1"/>
        <v/>
      </c>
      <c r="F26" s="8" t="str">
        <f t="shared" si="4"/>
        <v/>
      </c>
      <c r="G26" s="17" t="str">
        <f t="shared" si="2"/>
        <v/>
      </c>
      <c r="H26" s="17" t="str">
        <f t="shared" si="5"/>
        <v/>
      </c>
    </row>
    <row r="27" spans="1:10" x14ac:dyDescent="0.25">
      <c r="A27" s="3">
        <f>Data!B25</f>
        <v>22</v>
      </c>
      <c r="B27" s="7" t="str">
        <f>Data!C25</f>
        <v/>
      </c>
      <c r="C27" s="13" t="str">
        <f t="shared" si="0"/>
        <v/>
      </c>
      <c r="D27" s="12" t="str">
        <f t="shared" si="3"/>
        <v/>
      </c>
      <c r="E27" s="8" t="str">
        <f t="shared" si="1"/>
        <v/>
      </c>
      <c r="F27" s="8" t="str">
        <f t="shared" si="4"/>
        <v/>
      </c>
      <c r="G27" s="17" t="str">
        <f t="shared" si="2"/>
        <v/>
      </c>
      <c r="H27" s="17" t="str">
        <f t="shared" si="5"/>
        <v/>
      </c>
    </row>
    <row r="28" spans="1:10" x14ac:dyDescent="0.25">
      <c r="A28" s="3">
        <f>Data!B26</f>
        <v>23</v>
      </c>
      <c r="B28" s="7" t="str">
        <f>Data!C26</f>
        <v/>
      </c>
      <c r="C28" s="13" t="str">
        <f t="shared" si="0"/>
        <v/>
      </c>
      <c r="D28" s="12" t="str">
        <f t="shared" si="3"/>
        <v/>
      </c>
      <c r="E28" s="8" t="str">
        <f t="shared" si="1"/>
        <v/>
      </c>
      <c r="F28" s="8" t="str">
        <f t="shared" si="4"/>
        <v/>
      </c>
      <c r="G28" s="17" t="str">
        <f t="shared" si="2"/>
        <v/>
      </c>
      <c r="H28" s="17" t="str">
        <f t="shared" si="5"/>
        <v/>
      </c>
    </row>
    <row r="29" spans="1:10" x14ac:dyDescent="0.25">
      <c r="A29" s="3">
        <f>Data!B27</f>
        <v>24</v>
      </c>
      <c r="B29" s="7" t="str">
        <f>Data!C27</f>
        <v/>
      </c>
      <c r="C29" s="13" t="str">
        <f t="shared" si="0"/>
        <v/>
      </c>
      <c r="D29" s="12" t="str">
        <f t="shared" si="3"/>
        <v/>
      </c>
      <c r="E29" s="8" t="str">
        <f t="shared" si="1"/>
        <v/>
      </c>
      <c r="F29" s="8" t="str">
        <f t="shared" si="4"/>
        <v/>
      </c>
      <c r="G29" s="17" t="str">
        <f t="shared" si="2"/>
        <v/>
      </c>
      <c r="H29" s="17" t="str">
        <f t="shared" si="5"/>
        <v/>
      </c>
      <c r="I29" s="4"/>
      <c r="J29" s="54" t="s">
        <v>129</v>
      </c>
    </row>
    <row r="30" spans="1:10" x14ac:dyDescent="0.25">
      <c r="A30" s="3">
        <f>Data!B28</f>
        <v>25</v>
      </c>
      <c r="B30" s="7" t="str">
        <f>Data!C28</f>
        <v/>
      </c>
      <c r="C30" s="13" t="str">
        <f t="shared" si="0"/>
        <v/>
      </c>
      <c r="D30" s="12" t="str">
        <f t="shared" si="3"/>
        <v/>
      </c>
      <c r="E30" s="8" t="str">
        <f t="shared" si="1"/>
        <v/>
      </c>
      <c r="F30" s="8" t="str">
        <f t="shared" si="4"/>
        <v/>
      </c>
      <c r="G30" s="17" t="str">
        <f t="shared" si="2"/>
        <v/>
      </c>
      <c r="H30" s="17" t="str">
        <f t="shared" si="5"/>
        <v/>
      </c>
      <c r="I30" s="4" t="e">
        <f>(B29+C29)/2</f>
        <v>#VALUE!</v>
      </c>
      <c r="J30">
        <v>1</v>
      </c>
    </row>
    <row r="31" spans="1:10" x14ac:dyDescent="0.25">
      <c r="A31" s="3">
        <f>Data!B29</f>
        <v>26</v>
      </c>
      <c r="B31" s="7" t="str">
        <f>Data!C29</f>
        <v/>
      </c>
      <c r="C31" s="13" t="str">
        <f t="shared" si="0"/>
        <v/>
      </c>
      <c r="D31" s="12" t="str">
        <f t="shared" si="3"/>
        <v/>
      </c>
      <c r="E31" s="8" t="str">
        <f t="shared" si="1"/>
        <v/>
      </c>
      <c r="F31" s="8" t="str">
        <f t="shared" si="4"/>
        <v/>
      </c>
      <c r="G31" s="17" t="str">
        <f t="shared" si="2"/>
        <v/>
      </c>
      <c r="H31" s="17" t="str">
        <f t="shared" si="5"/>
        <v/>
      </c>
      <c r="I31" s="4" t="e">
        <f>(B29+I30)/2</f>
        <v>#VALUE!</v>
      </c>
      <c r="J31">
        <v>2</v>
      </c>
    </row>
    <row r="32" spans="1:10" x14ac:dyDescent="0.25">
      <c r="A32" s="3">
        <f>Data!B30</f>
        <v>27</v>
      </c>
      <c r="B32" s="7" t="str">
        <f>Data!C30</f>
        <v/>
      </c>
      <c r="C32" s="13" t="str">
        <f t="shared" si="0"/>
        <v/>
      </c>
      <c r="D32" s="12" t="str">
        <f t="shared" si="3"/>
        <v/>
      </c>
      <c r="E32" s="8" t="str">
        <f t="shared" si="1"/>
        <v/>
      </c>
      <c r="F32" s="8" t="str">
        <f t="shared" si="4"/>
        <v/>
      </c>
      <c r="G32" s="17" t="str">
        <f t="shared" si="2"/>
        <v/>
      </c>
      <c r="H32" s="17" t="str">
        <f t="shared" si="5"/>
        <v/>
      </c>
      <c r="I32" s="4" t="e">
        <f>$A$4*$B$29+(1-$A$4)*I31</f>
        <v>#VALUE!</v>
      </c>
      <c r="J32">
        <v>3</v>
      </c>
    </row>
    <row r="33" spans="1:10" x14ac:dyDescent="0.25">
      <c r="A33" s="3">
        <f>Data!B31</f>
        <v>28</v>
      </c>
      <c r="B33" s="7" t="str">
        <f>Data!C31</f>
        <v/>
      </c>
      <c r="C33" s="13" t="str">
        <f t="shared" si="0"/>
        <v/>
      </c>
      <c r="D33" s="12" t="str">
        <f t="shared" si="3"/>
        <v/>
      </c>
      <c r="E33" s="8" t="str">
        <f t="shared" si="1"/>
        <v/>
      </c>
      <c r="F33" s="8" t="str">
        <f t="shared" si="4"/>
        <v/>
      </c>
      <c r="G33" s="17" t="str">
        <f t="shared" si="2"/>
        <v/>
      </c>
      <c r="H33" s="17" t="str">
        <f t="shared" si="5"/>
        <v/>
      </c>
      <c r="I33" s="4" t="e">
        <f>$A$4*$B$29+(1-$A$4)*I32</f>
        <v>#VALUE!</v>
      </c>
      <c r="J33">
        <v>4</v>
      </c>
    </row>
    <row r="34" spans="1:10" x14ac:dyDescent="0.25">
      <c r="A34" s="3">
        <f>Data!B32</f>
        <v>29</v>
      </c>
      <c r="B34" s="7" t="str">
        <f>Data!C32</f>
        <v/>
      </c>
      <c r="C34" s="13" t="str">
        <f t="shared" si="0"/>
        <v/>
      </c>
      <c r="D34" s="12" t="str">
        <f t="shared" si="3"/>
        <v/>
      </c>
      <c r="E34" s="8" t="str">
        <f t="shared" si="1"/>
        <v/>
      </c>
      <c r="F34" s="8" t="str">
        <f t="shared" si="4"/>
        <v/>
      </c>
      <c r="G34" s="17" t="str">
        <f t="shared" si="2"/>
        <v/>
      </c>
      <c r="H34" s="17" t="str">
        <f t="shared" si="5"/>
        <v/>
      </c>
    </row>
    <row r="35" spans="1:10" x14ac:dyDescent="0.25">
      <c r="A35" s="3">
        <f>Data!B33</f>
        <v>30</v>
      </c>
      <c r="B35" s="7" t="str">
        <f>Data!C33</f>
        <v/>
      </c>
      <c r="C35" s="13" t="str">
        <f t="shared" si="0"/>
        <v/>
      </c>
      <c r="D35" s="12" t="str">
        <f t="shared" si="3"/>
        <v/>
      </c>
      <c r="E35" s="8" t="str">
        <f t="shared" si="1"/>
        <v/>
      </c>
      <c r="F35" s="8" t="str">
        <f t="shared" si="4"/>
        <v/>
      </c>
      <c r="G35" s="17" t="str">
        <f t="shared" si="2"/>
        <v/>
      </c>
      <c r="H35" s="17" t="str">
        <f t="shared" si="5"/>
        <v/>
      </c>
    </row>
    <row r="36" spans="1:10" x14ac:dyDescent="0.25">
      <c r="A36" s="3">
        <f>Data!B34</f>
        <v>31</v>
      </c>
      <c r="B36" s="7" t="str">
        <f>Data!C34</f>
        <v/>
      </c>
      <c r="C36" s="13" t="str">
        <f t="shared" si="0"/>
        <v/>
      </c>
      <c r="D36" s="12" t="str">
        <f t="shared" si="3"/>
        <v/>
      </c>
      <c r="E36" s="8" t="str">
        <f t="shared" si="1"/>
        <v/>
      </c>
      <c r="F36" s="8" t="str">
        <f t="shared" si="4"/>
        <v/>
      </c>
      <c r="G36" s="17" t="str">
        <f t="shared" si="2"/>
        <v/>
      </c>
      <c r="H36" s="17" t="str">
        <f t="shared" si="5"/>
        <v/>
      </c>
    </row>
    <row r="37" spans="1:10" x14ac:dyDescent="0.25">
      <c r="A37" s="3">
        <f>Data!B35</f>
        <v>32</v>
      </c>
      <c r="B37" s="7" t="str">
        <f>Data!C35</f>
        <v/>
      </c>
      <c r="C37" s="13" t="str">
        <f t="shared" si="0"/>
        <v/>
      </c>
      <c r="D37" s="12" t="str">
        <f t="shared" si="3"/>
        <v/>
      </c>
      <c r="E37" s="8" t="str">
        <f t="shared" si="1"/>
        <v/>
      </c>
      <c r="F37" s="8" t="str">
        <f t="shared" si="4"/>
        <v/>
      </c>
      <c r="G37" s="17" t="str">
        <f t="shared" si="2"/>
        <v/>
      </c>
      <c r="H37" s="17" t="str">
        <f t="shared" si="5"/>
        <v/>
      </c>
    </row>
    <row r="38" spans="1:10" x14ac:dyDescent="0.25">
      <c r="A38" s="3">
        <f>Data!B36</f>
        <v>33</v>
      </c>
      <c r="B38" s="7" t="str">
        <f>Data!C36</f>
        <v/>
      </c>
      <c r="C38" s="13" t="str">
        <f t="shared" si="0"/>
        <v/>
      </c>
      <c r="D38" s="12" t="str">
        <f t="shared" si="3"/>
        <v/>
      </c>
      <c r="E38" s="8" t="str">
        <f t="shared" si="1"/>
        <v/>
      </c>
      <c r="F38" s="8" t="str">
        <f t="shared" si="4"/>
        <v/>
      </c>
      <c r="G38" s="17" t="str">
        <f t="shared" si="2"/>
        <v/>
      </c>
      <c r="H38" s="17" t="str">
        <f t="shared" si="5"/>
        <v/>
      </c>
    </row>
    <row r="39" spans="1:10" x14ac:dyDescent="0.25">
      <c r="A39" s="3">
        <f>Data!B37</f>
        <v>34</v>
      </c>
      <c r="B39" s="7" t="str">
        <f>Data!C37</f>
        <v/>
      </c>
      <c r="C39" s="13" t="str">
        <f t="shared" si="0"/>
        <v/>
      </c>
      <c r="D39" s="12" t="str">
        <f t="shared" si="3"/>
        <v/>
      </c>
      <c r="E39" s="8" t="str">
        <f t="shared" si="1"/>
        <v/>
      </c>
      <c r="F39" s="8" t="str">
        <f t="shared" si="4"/>
        <v/>
      </c>
      <c r="G39" s="17" t="str">
        <f t="shared" si="2"/>
        <v/>
      </c>
      <c r="H39" s="17" t="str">
        <f t="shared" si="5"/>
        <v/>
      </c>
    </row>
    <row r="40" spans="1:10" x14ac:dyDescent="0.25">
      <c r="A40" s="3">
        <f>Data!B38</f>
        <v>35</v>
      </c>
      <c r="B40" s="7" t="str">
        <f>Data!C38</f>
        <v/>
      </c>
      <c r="C40" s="13" t="str">
        <f t="shared" si="0"/>
        <v/>
      </c>
      <c r="D40" s="12" t="str">
        <f t="shared" si="3"/>
        <v/>
      </c>
      <c r="E40" s="8" t="str">
        <f t="shared" si="1"/>
        <v/>
      </c>
      <c r="F40" s="8" t="str">
        <f t="shared" si="4"/>
        <v/>
      </c>
      <c r="G40" s="17" t="str">
        <f t="shared" si="2"/>
        <v/>
      </c>
      <c r="H40" s="17" t="str">
        <f t="shared" si="5"/>
        <v/>
      </c>
    </row>
    <row r="41" spans="1:10" x14ac:dyDescent="0.25">
      <c r="A41" s="3">
        <f>Data!B39</f>
        <v>36</v>
      </c>
      <c r="B41" s="7" t="str">
        <f>Data!C39</f>
        <v/>
      </c>
      <c r="C41" s="13" t="str">
        <f t="shared" si="0"/>
        <v/>
      </c>
      <c r="D41" s="12" t="str">
        <f t="shared" si="3"/>
        <v/>
      </c>
      <c r="E41" s="8" t="str">
        <f t="shared" si="1"/>
        <v/>
      </c>
      <c r="F41" s="8" t="str">
        <f t="shared" si="4"/>
        <v/>
      </c>
      <c r="G41" s="17" t="str">
        <f t="shared" si="2"/>
        <v/>
      </c>
      <c r="H41" s="17" t="str">
        <f t="shared" si="5"/>
        <v/>
      </c>
    </row>
    <row r="42" spans="1:10" x14ac:dyDescent="0.25">
      <c r="A42" s="3">
        <f>Data!B40</f>
        <v>37</v>
      </c>
      <c r="B42" s="7" t="str">
        <f>Data!C40</f>
        <v/>
      </c>
      <c r="C42" s="13" t="str">
        <f t="shared" si="0"/>
        <v/>
      </c>
      <c r="D42" s="12" t="str">
        <f t="shared" si="3"/>
        <v/>
      </c>
      <c r="E42" s="8" t="str">
        <f t="shared" si="1"/>
        <v/>
      </c>
      <c r="F42" s="8" t="str">
        <f t="shared" si="4"/>
        <v/>
      </c>
      <c r="G42" s="17" t="str">
        <f t="shared" si="2"/>
        <v/>
      </c>
      <c r="H42" s="17" t="str">
        <f t="shared" si="5"/>
        <v/>
      </c>
    </row>
    <row r="43" spans="1:10" x14ac:dyDescent="0.25">
      <c r="A43" s="3">
        <f>Data!B41</f>
        <v>38</v>
      </c>
      <c r="B43" s="7" t="str">
        <f>Data!C41</f>
        <v/>
      </c>
      <c r="C43" s="13" t="str">
        <f t="shared" si="0"/>
        <v/>
      </c>
      <c r="D43" s="12" t="str">
        <f t="shared" si="3"/>
        <v/>
      </c>
      <c r="E43" s="8" t="str">
        <f t="shared" si="1"/>
        <v/>
      </c>
      <c r="F43" s="8" t="str">
        <f t="shared" si="4"/>
        <v/>
      </c>
      <c r="G43" s="17" t="str">
        <f t="shared" si="2"/>
        <v/>
      </c>
      <c r="H43" s="17" t="str">
        <f t="shared" si="5"/>
        <v/>
      </c>
    </row>
    <row r="44" spans="1:10" x14ac:dyDescent="0.25">
      <c r="A44" s="3">
        <f>Data!B42</f>
        <v>39</v>
      </c>
      <c r="B44" s="7" t="str">
        <f>Data!C42</f>
        <v/>
      </c>
      <c r="C44" s="13" t="str">
        <f t="shared" si="0"/>
        <v/>
      </c>
      <c r="D44" s="12" t="str">
        <f t="shared" si="3"/>
        <v/>
      </c>
      <c r="E44" s="8" t="str">
        <f t="shared" si="1"/>
        <v/>
      </c>
      <c r="F44" s="8" t="str">
        <f t="shared" si="4"/>
        <v/>
      </c>
      <c r="G44" s="17" t="str">
        <f t="shared" si="2"/>
        <v/>
      </c>
      <c r="H44" s="17" t="str">
        <f t="shared" si="5"/>
        <v/>
      </c>
    </row>
    <row r="45" spans="1:10" x14ac:dyDescent="0.25">
      <c r="A45" s="3">
        <f>Data!B43</f>
        <v>40</v>
      </c>
      <c r="B45" s="7" t="str">
        <f>Data!C43</f>
        <v/>
      </c>
      <c r="C45" s="13" t="str">
        <f t="shared" si="0"/>
        <v/>
      </c>
      <c r="D45" s="12" t="str">
        <f t="shared" si="3"/>
        <v/>
      </c>
      <c r="E45" s="8" t="str">
        <f t="shared" si="1"/>
        <v/>
      </c>
      <c r="F45" s="8" t="str">
        <f t="shared" si="4"/>
        <v/>
      </c>
      <c r="G45" s="17" t="str">
        <f t="shared" si="2"/>
        <v/>
      </c>
      <c r="H45" s="17" t="str">
        <f t="shared" si="5"/>
        <v/>
      </c>
    </row>
    <row r="46" spans="1:10" x14ac:dyDescent="0.25">
      <c r="A46" s="3">
        <f>Data!B44</f>
        <v>41</v>
      </c>
      <c r="B46" s="7" t="str">
        <f>Data!C44</f>
        <v/>
      </c>
      <c r="C46" s="13" t="str">
        <f t="shared" si="0"/>
        <v/>
      </c>
      <c r="D46" s="12" t="str">
        <f t="shared" si="3"/>
        <v/>
      </c>
      <c r="E46" s="8" t="str">
        <f t="shared" si="1"/>
        <v/>
      </c>
      <c r="F46" s="8" t="str">
        <f t="shared" si="4"/>
        <v/>
      </c>
      <c r="G46" s="17" t="str">
        <f t="shared" si="2"/>
        <v/>
      </c>
      <c r="H46" s="17" t="str">
        <f t="shared" si="5"/>
        <v/>
      </c>
    </row>
    <row r="47" spans="1:10" x14ac:dyDescent="0.25">
      <c r="A47" s="3">
        <f>Data!B45</f>
        <v>42</v>
      </c>
      <c r="B47" s="7" t="str">
        <f>Data!C45</f>
        <v/>
      </c>
      <c r="C47" s="13" t="str">
        <f t="shared" si="0"/>
        <v/>
      </c>
      <c r="D47" s="12" t="str">
        <f t="shared" si="3"/>
        <v/>
      </c>
      <c r="E47" s="8" t="str">
        <f t="shared" si="1"/>
        <v/>
      </c>
      <c r="F47" s="8" t="str">
        <f t="shared" si="4"/>
        <v/>
      </c>
      <c r="G47" s="17" t="str">
        <f t="shared" si="2"/>
        <v/>
      </c>
      <c r="H47" s="17" t="str">
        <f t="shared" si="5"/>
        <v/>
      </c>
    </row>
    <row r="48" spans="1:10" x14ac:dyDescent="0.25">
      <c r="A48" s="3">
        <f>Data!B46</f>
        <v>43</v>
      </c>
      <c r="B48" s="7" t="str">
        <f>Data!C46</f>
        <v/>
      </c>
      <c r="C48" s="13" t="str">
        <f t="shared" si="0"/>
        <v/>
      </c>
      <c r="D48" s="12" t="str">
        <f t="shared" si="3"/>
        <v/>
      </c>
      <c r="E48" s="8" t="str">
        <f t="shared" si="1"/>
        <v/>
      </c>
      <c r="F48" s="8" t="str">
        <f t="shared" si="4"/>
        <v/>
      </c>
      <c r="G48" s="17" t="str">
        <f t="shared" si="2"/>
        <v/>
      </c>
      <c r="H48" s="17" t="str">
        <f t="shared" si="5"/>
        <v/>
      </c>
    </row>
    <row r="49" spans="1:13" x14ac:dyDescent="0.25">
      <c r="A49" s="3">
        <f>Data!B47</f>
        <v>44</v>
      </c>
      <c r="B49" s="7" t="str">
        <f>Data!C47</f>
        <v/>
      </c>
      <c r="C49" s="13" t="str">
        <f t="shared" si="0"/>
        <v/>
      </c>
      <c r="D49" s="12" t="str">
        <f t="shared" si="3"/>
        <v/>
      </c>
      <c r="E49" s="8" t="str">
        <f t="shared" si="1"/>
        <v/>
      </c>
      <c r="F49" s="8" t="str">
        <f t="shared" si="4"/>
        <v/>
      </c>
      <c r="G49" s="17" t="str">
        <f t="shared" si="2"/>
        <v/>
      </c>
      <c r="H49" s="17" t="str">
        <f t="shared" si="5"/>
        <v/>
      </c>
    </row>
    <row r="50" spans="1:13" x14ac:dyDescent="0.25">
      <c r="A50" s="3">
        <f>Data!B48</f>
        <v>45</v>
      </c>
      <c r="B50" s="7" t="str">
        <f>Data!C48</f>
        <v/>
      </c>
      <c r="C50" s="13" t="str">
        <f t="shared" si="0"/>
        <v/>
      </c>
      <c r="D50" s="12" t="str">
        <f t="shared" si="3"/>
        <v/>
      </c>
      <c r="E50" s="8" t="str">
        <f t="shared" si="1"/>
        <v/>
      </c>
      <c r="F50" s="8" t="str">
        <f t="shared" si="4"/>
        <v/>
      </c>
      <c r="G50" s="17" t="str">
        <f t="shared" si="2"/>
        <v/>
      </c>
      <c r="H50" s="17" t="str">
        <f t="shared" si="5"/>
        <v/>
      </c>
    </row>
    <row r="51" spans="1:13" x14ac:dyDescent="0.25">
      <c r="A51" s="3">
        <f>Data!B49</f>
        <v>46</v>
      </c>
      <c r="B51" s="7" t="str">
        <f>Data!C49</f>
        <v/>
      </c>
      <c r="C51" s="13" t="str">
        <f t="shared" si="0"/>
        <v/>
      </c>
      <c r="D51" s="12" t="str">
        <f t="shared" si="3"/>
        <v/>
      </c>
      <c r="E51" s="8" t="str">
        <f t="shared" si="1"/>
        <v/>
      </c>
      <c r="F51" s="8" t="str">
        <f t="shared" si="4"/>
        <v/>
      </c>
      <c r="G51" s="17" t="str">
        <f t="shared" si="2"/>
        <v/>
      </c>
      <c r="H51" s="17" t="str">
        <f t="shared" si="5"/>
        <v/>
      </c>
    </row>
    <row r="52" spans="1:13" x14ac:dyDescent="0.25">
      <c r="A52" s="3">
        <f>Data!B50</f>
        <v>47</v>
      </c>
      <c r="B52" s="7" t="str">
        <f>Data!C50</f>
        <v/>
      </c>
      <c r="C52" s="13" t="str">
        <f t="shared" si="0"/>
        <v/>
      </c>
      <c r="D52" s="12" t="str">
        <f t="shared" si="3"/>
        <v/>
      </c>
      <c r="E52" s="8" t="str">
        <f t="shared" si="1"/>
        <v/>
      </c>
      <c r="F52" s="8" t="str">
        <f t="shared" si="4"/>
        <v/>
      </c>
      <c r="G52" s="17" t="str">
        <f t="shared" si="2"/>
        <v/>
      </c>
      <c r="H52" s="17" t="str">
        <f t="shared" si="5"/>
        <v/>
      </c>
    </row>
    <row r="53" spans="1:13" x14ac:dyDescent="0.25">
      <c r="A53" s="3">
        <f>Data!B51</f>
        <v>48</v>
      </c>
      <c r="B53" s="7" t="str">
        <f>Data!C51</f>
        <v/>
      </c>
      <c r="C53" s="13" t="str">
        <f t="shared" si="0"/>
        <v/>
      </c>
      <c r="D53" s="12" t="str">
        <f t="shared" si="3"/>
        <v/>
      </c>
      <c r="E53" s="8" t="str">
        <f t="shared" si="1"/>
        <v/>
      </c>
      <c r="F53" s="8" t="str">
        <f t="shared" si="4"/>
        <v/>
      </c>
      <c r="G53" s="17" t="str">
        <f t="shared" si="2"/>
        <v/>
      </c>
      <c r="H53" s="17" t="str">
        <f t="shared" si="5"/>
        <v/>
      </c>
    </row>
    <row r="54" spans="1:13" x14ac:dyDescent="0.25">
      <c r="A54" s="3">
        <f>Data!B52</f>
        <v>49</v>
      </c>
      <c r="B54" s="7" t="str">
        <f>Data!C52</f>
        <v/>
      </c>
      <c r="C54" s="13" t="str">
        <f t="shared" si="0"/>
        <v/>
      </c>
      <c r="D54" s="12" t="str">
        <f t="shared" si="3"/>
        <v/>
      </c>
      <c r="E54" s="8" t="str">
        <f t="shared" si="1"/>
        <v/>
      </c>
      <c r="F54" s="8" t="str">
        <f t="shared" si="4"/>
        <v/>
      </c>
      <c r="G54" s="17" t="str">
        <f t="shared" si="2"/>
        <v/>
      </c>
      <c r="H54" s="17" t="str">
        <f t="shared" si="5"/>
        <v/>
      </c>
    </row>
    <row r="55" spans="1:13" x14ac:dyDescent="0.25">
      <c r="A55" s="3">
        <f>Data!B53</f>
        <v>50</v>
      </c>
      <c r="B55" s="7" t="str">
        <f>Data!C53</f>
        <v/>
      </c>
      <c r="C55" s="13" t="str">
        <f t="shared" si="0"/>
        <v/>
      </c>
      <c r="D55" s="12" t="str">
        <f t="shared" si="3"/>
        <v/>
      </c>
      <c r="E55" s="8" t="str">
        <f t="shared" si="1"/>
        <v/>
      </c>
      <c r="F55" s="8" t="str">
        <f t="shared" si="4"/>
        <v/>
      </c>
      <c r="G55" s="17" t="str">
        <f t="shared" si="2"/>
        <v/>
      </c>
      <c r="H55" s="17" t="str">
        <f t="shared" si="5"/>
        <v/>
      </c>
    </row>
    <row r="56" spans="1:13" x14ac:dyDescent="0.25">
      <c r="A56" s="3">
        <f>Data!B54</f>
        <v>51</v>
      </c>
      <c r="B56" s="7" t="str">
        <f>Data!C54</f>
        <v/>
      </c>
      <c r="C56" s="13" t="str">
        <f t="shared" si="0"/>
        <v/>
      </c>
      <c r="D56" s="12" t="str">
        <f t="shared" si="3"/>
        <v/>
      </c>
      <c r="E56" s="8" t="str">
        <f t="shared" si="1"/>
        <v/>
      </c>
      <c r="F56" s="8" t="str">
        <f t="shared" si="4"/>
        <v/>
      </c>
      <c r="G56" s="17" t="str">
        <f t="shared" si="2"/>
        <v/>
      </c>
      <c r="H56" s="17" t="str">
        <f t="shared" si="5"/>
        <v/>
      </c>
    </row>
    <row r="57" spans="1:13" x14ac:dyDescent="0.25">
      <c r="A57" s="3">
        <f>Data!B55</f>
        <v>52</v>
      </c>
      <c r="B57" s="7" t="str">
        <f>Data!C55</f>
        <v/>
      </c>
      <c r="C57" s="13" t="str">
        <f t="shared" si="0"/>
        <v/>
      </c>
      <c r="D57" s="12" t="str">
        <f t="shared" si="3"/>
        <v/>
      </c>
      <c r="E57" s="8" t="str">
        <f t="shared" si="1"/>
        <v/>
      </c>
      <c r="F57" s="8" t="str">
        <f t="shared" si="4"/>
        <v/>
      </c>
      <c r="G57" s="17" t="str">
        <f t="shared" si="2"/>
        <v/>
      </c>
      <c r="H57" s="17" t="str">
        <f t="shared" si="5"/>
        <v/>
      </c>
    </row>
    <row r="58" spans="1:13" x14ac:dyDescent="0.25">
      <c r="A58" s="3">
        <f>Data!B56</f>
        <v>53</v>
      </c>
      <c r="B58" s="7" t="str">
        <f>Data!C56</f>
        <v/>
      </c>
      <c r="C58" s="13" t="str">
        <f t="shared" si="0"/>
        <v/>
      </c>
      <c r="D58" s="12" t="str">
        <f t="shared" si="3"/>
        <v/>
      </c>
      <c r="E58" s="8" t="str">
        <f t="shared" si="1"/>
        <v/>
      </c>
      <c r="F58" s="8" t="str">
        <f t="shared" si="4"/>
        <v/>
      </c>
      <c r="G58" s="17" t="str">
        <f t="shared" si="2"/>
        <v/>
      </c>
      <c r="H58" s="17" t="str">
        <f t="shared" si="5"/>
        <v/>
      </c>
    </row>
    <row r="59" spans="1:13" x14ac:dyDescent="0.25">
      <c r="A59" s="3">
        <f>Data!B57</f>
        <v>54</v>
      </c>
      <c r="B59" s="7" t="str">
        <f>Data!C57</f>
        <v/>
      </c>
      <c r="C59" s="13" t="str">
        <f t="shared" si="0"/>
        <v/>
      </c>
      <c r="D59" s="12" t="str">
        <f t="shared" si="3"/>
        <v/>
      </c>
      <c r="E59" s="8" t="str">
        <f t="shared" si="1"/>
        <v/>
      </c>
      <c r="F59" s="8" t="str">
        <f t="shared" si="4"/>
        <v/>
      </c>
      <c r="G59" s="17" t="str">
        <f t="shared" si="2"/>
        <v/>
      </c>
      <c r="H59" s="17" t="str">
        <f t="shared" si="5"/>
        <v/>
      </c>
      <c r="J59" s="13"/>
      <c r="K59" s="13"/>
      <c r="L59" s="13"/>
      <c r="M59" s="13"/>
    </row>
    <row r="60" spans="1:13" x14ac:dyDescent="0.25">
      <c r="A60" s="3">
        <v>55</v>
      </c>
      <c r="B60" s="7" t="str">
        <f>Data!C58</f>
        <v/>
      </c>
      <c r="C60" s="13" t="str">
        <f t="shared" si="0"/>
        <v/>
      </c>
      <c r="D60" s="12" t="str">
        <f t="shared" si="3"/>
        <v/>
      </c>
      <c r="E60" s="8"/>
      <c r="G60" s="17" t="str">
        <f t="shared" si="2"/>
        <v/>
      </c>
      <c r="H60" s="17" t="str">
        <f t="shared" si="5"/>
        <v/>
      </c>
      <c r="J60" s="13"/>
      <c r="K60" s="13"/>
      <c r="L60" s="13"/>
      <c r="M60" s="1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60"/>
  <sheetViews>
    <sheetView workbookViewId="0">
      <selection activeCell="U19" sqref="U19"/>
    </sheetView>
  </sheetViews>
  <sheetFormatPr defaultRowHeight="15" x14ac:dyDescent="0.25"/>
  <cols>
    <col min="1" max="1" width="8.85546875" style="3"/>
    <col min="2" max="2" width="14.7109375" customWidth="1"/>
    <col min="3" max="3" width="13.28515625" style="13" bestFit="1" customWidth="1"/>
    <col min="4" max="4" width="11.7109375" style="13" bestFit="1" customWidth="1"/>
    <col min="5" max="5" width="11" style="13" bestFit="1" customWidth="1"/>
    <col min="6" max="6" width="14.5703125" bestFit="1" customWidth="1"/>
    <col min="8" max="8" width="10" bestFit="1" customWidth="1"/>
    <col min="11" max="11" width="12.5703125" bestFit="1" customWidth="1"/>
    <col min="12" max="12" width="10.7109375" bestFit="1" customWidth="1"/>
    <col min="13" max="13" width="12.5703125" bestFit="1" customWidth="1"/>
  </cols>
  <sheetData>
    <row r="1" spans="1:15" ht="30" x14ac:dyDescent="0.25">
      <c r="A1" s="38" t="s">
        <v>111</v>
      </c>
      <c r="B1" s="39" t="s">
        <v>117</v>
      </c>
      <c r="J1">
        <f>COUNT(B6:B59)</f>
        <v>17</v>
      </c>
    </row>
    <row r="2" spans="1:15" x14ac:dyDescent="0.25">
      <c r="A2" s="40">
        <f>Data!C2</f>
        <v>8</v>
      </c>
      <c r="B2" s="47" t="str">
        <f>Select_Data!B2</f>
        <v>Cost-yt8</v>
      </c>
      <c r="G2" s="54" t="s">
        <v>121</v>
      </c>
      <c r="H2" s="53"/>
    </row>
    <row r="3" spans="1:15" ht="30" x14ac:dyDescent="0.25">
      <c r="A3" s="9" t="s">
        <v>1</v>
      </c>
      <c r="B3" s="9" t="s">
        <v>87</v>
      </c>
      <c r="C3" s="9" t="s">
        <v>115</v>
      </c>
      <c r="D3" s="9" t="s">
        <v>5</v>
      </c>
      <c r="E3" s="43" t="s">
        <v>116</v>
      </c>
      <c r="G3" s="52" t="s">
        <v>120</v>
      </c>
      <c r="H3" s="53"/>
      <c r="I3" s="53"/>
      <c r="M3" s="36" t="s">
        <v>108</v>
      </c>
      <c r="N3" s="36" t="s">
        <v>118</v>
      </c>
      <c r="O3" s="36" t="s">
        <v>119</v>
      </c>
    </row>
    <row r="4" spans="1:15" x14ac:dyDescent="0.25">
      <c r="A4" s="10">
        <v>0.2</v>
      </c>
      <c r="B4" s="46">
        <f>CORREL(B6:B58,D7:D59)</f>
        <v>-0.31492404652939515</v>
      </c>
      <c r="C4" s="46">
        <f>(SUMXMY2(B7:B59,C7:C59)/COUNT(B7:B59))</f>
        <v>2464832763.4283133</v>
      </c>
      <c r="D4" s="48">
        <f>SUM(D7:D59)/COUNT(D7:D59)</f>
        <v>38617.273655872385</v>
      </c>
      <c r="E4" s="49">
        <f>SUM(E7:E59)/COUNT(B7:B60)</f>
        <v>0.1221991676087691</v>
      </c>
      <c r="M4" t="str">
        <f>CONCATENATE("B6:B",COUNT($B$6:$B$60)+5)</f>
        <v>B6:B22</v>
      </c>
      <c r="N4" t="str">
        <f>CONCATENATE("C7:C",COUNT($C$7:$C$60)+6)</f>
        <v>C7:C23</v>
      </c>
      <c r="O4" t="str">
        <f>CONCATENATE("C7:C",COUNT($B$7:$B$60)+7)</f>
        <v>C7:C23</v>
      </c>
    </row>
    <row r="5" spans="1:15" x14ac:dyDescent="0.25">
      <c r="A5" s="6" t="s">
        <v>21</v>
      </c>
      <c r="B5" s="51" t="str">
        <f>Data!D3</f>
        <v>Cost-yt1</v>
      </c>
      <c r="C5" s="50" t="s">
        <v>100</v>
      </c>
      <c r="D5" s="14" t="s">
        <v>4</v>
      </c>
      <c r="E5" s="14" t="s">
        <v>6</v>
      </c>
      <c r="F5" s="4"/>
      <c r="G5" s="4"/>
    </row>
    <row r="6" spans="1:15" x14ac:dyDescent="0.25">
      <c r="A6" s="3">
        <f>Data!B4</f>
        <v>1</v>
      </c>
      <c r="B6" s="20">
        <f>Data!C4</f>
        <v>213078</v>
      </c>
      <c r="C6" s="20">
        <f>B6</f>
        <v>213078</v>
      </c>
      <c r="D6" s="8"/>
      <c r="E6"/>
      <c r="F6" s="4"/>
    </row>
    <row r="7" spans="1:15" x14ac:dyDescent="0.25">
      <c r="A7" s="3">
        <f>Data!B5</f>
        <v>2</v>
      </c>
      <c r="B7" s="20">
        <f>Data!C5</f>
        <v>240858</v>
      </c>
      <c r="C7" s="20">
        <f>IF(B6="","",C6+$A$4*(B6-C6))</f>
        <v>213078</v>
      </c>
      <c r="D7" s="8">
        <f>IF(B7="","",ABS(B7-C7))</f>
        <v>27780</v>
      </c>
      <c r="E7" s="17">
        <f>IF(B7="","",D7/B7)</f>
        <v>0.11533766783748101</v>
      </c>
      <c r="F7" s="4"/>
    </row>
    <row r="8" spans="1:15" x14ac:dyDescent="0.25">
      <c r="A8" s="3">
        <f>Data!B6</f>
        <v>3</v>
      </c>
      <c r="B8" s="20">
        <f>Data!C6</f>
        <v>282563.70000000007</v>
      </c>
      <c r="C8" s="20">
        <f t="shared" ref="C8:C60" si="0">IF(B7="","",C7+$A$4*(B7-C7))</f>
        <v>218634</v>
      </c>
      <c r="D8" s="8">
        <f t="shared" ref="D8:D60" si="1">IF(B8="","",ABS(B8-C8))</f>
        <v>63929.70000000007</v>
      </c>
      <c r="E8" s="17">
        <f t="shared" ref="E8:E59" si="2">IF(B8="","",D8/B8)</f>
        <v>0.22624880690619514</v>
      </c>
      <c r="F8" s="4"/>
    </row>
    <row r="9" spans="1:15" x14ac:dyDescent="0.25">
      <c r="A9" s="3">
        <f>Data!B7</f>
        <v>4</v>
      </c>
      <c r="B9" s="20">
        <f>Data!C7</f>
        <v>227827.1</v>
      </c>
      <c r="C9" s="20">
        <f t="shared" si="0"/>
        <v>231419.94</v>
      </c>
      <c r="D9" s="8">
        <f t="shared" si="1"/>
        <v>3592.8399999999965</v>
      </c>
      <c r="E9" s="17">
        <f t="shared" si="2"/>
        <v>1.5770029114183504E-2</v>
      </c>
      <c r="F9" s="4"/>
    </row>
    <row r="10" spans="1:15" x14ac:dyDescent="0.25">
      <c r="A10" s="3">
        <f>Data!B8</f>
        <v>5</v>
      </c>
      <c r="B10" s="20">
        <f>Data!C8</f>
        <v>294816</v>
      </c>
      <c r="C10" s="20">
        <f t="shared" si="0"/>
        <v>230701.372</v>
      </c>
      <c r="D10" s="8">
        <f t="shared" si="1"/>
        <v>64114.627999999997</v>
      </c>
      <c r="E10" s="17">
        <f t="shared" si="2"/>
        <v>0.21747336643872786</v>
      </c>
      <c r="F10" s="4"/>
    </row>
    <row r="11" spans="1:15" x14ac:dyDescent="0.25">
      <c r="A11" s="3">
        <f>Data!B9</f>
        <v>6</v>
      </c>
      <c r="B11" s="20">
        <f>Data!C9</f>
        <v>359881</v>
      </c>
      <c r="C11" s="20">
        <f t="shared" si="0"/>
        <v>243524.29759999999</v>
      </c>
      <c r="D11" s="8">
        <f t="shared" si="1"/>
        <v>116356.70240000001</v>
      </c>
      <c r="E11" s="17">
        <f t="shared" si="2"/>
        <v>0.32331993742375953</v>
      </c>
      <c r="F11" s="4"/>
    </row>
    <row r="12" spans="1:15" x14ac:dyDescent="0.25">
      <c r="A12" s="3">
        <f>Data!B10</f>
        <v>7</v>
      </c>
      <c r="B12" s="20">
        <f>Data!C10</f>
        <v>283609.2</v>
      </c>
      <c r="C12" s="20">
        <f t="shared" si="0"/>
        <v>266795.63808</v>
      </c>
      <c r="D12" s="8">
        <f t="shared" si="1"/>
        <v>16813.561920000007</v>
      </c>
      <c r="E12" s="17">
        <f t="shared" si="2"/>
        <v>5.9284261300409181E-2</v>
      </c>
      <c r="F12" s="4"/>
    </row>
    <row r="13" spans="1:15" x14ac:dyDescent="0.25">
      <c r="A13" s="3">
        <f>Data!B11</f>
        <v>8</v>
      </c>
      <c r="B13" s="20">
        <f>Data!C11</f>
        <v>303780.11</v>
      </c>
      <c r="C13" s="20">
        <f t="shared" si="0"/>
        <v>270158.35046400002</v>
      </c>
      <c r="D13" s="8">
        <f t="shared" si="1"/>
        <v>33621.759535999969</v>
      </c>
      <c r="E13" s="17">
        <f t="shared" si="2"/>
        <v>0.1106779490467627</v>
      </c>
      <c r="F13" s="4"/>
    </row>
    <row r="14" spans="1:15" x14ac:dyDescent="0.25">
      <c r="A14" s="3">
        <f>Data!B12</f>
        <v>9</v>
      </c>
      <c r="B14" s="20">
        <f>Data!C12</f>
        <v>360843.95</v>
      </c>
      <c r="C14" s="20">
        <f t="shared" si="0"/>
        <v>276882.70237120002</v>
      </c>
      <c r="D14" s="8">
        <f t="shared" si="1"/>
        <v>83961.247628799989</v>
      </c>
      <c r="E14" s="17">
        <f t="shared" si="2"/>
        <v>0.23268021433863581</v>
      </c>
      <c r="F14" s="4"/>
    </row>
    <row r="15" spans="1:15" x14ac:dyDescent="0.25">
      <c r="A15" s="3">
        <f>Data!B13</f>
        <v>10</v>
      </c>
      <c r="B15" s="20">
        <f>Data!C13</f>
        <v>303033.69999999995</v>
      </c>
      <c r="C15" s="20">
        <f t="shared" si="0"/>
        <v>293674.95189696003</v>
      </c>
      <c r="D15" s="8">
        <f t="shared" si="1"/>
        <v>9358.7481030399213</v>
      </c>
      <c r="E15" s="17">
        <f t="shared" si="2"/>
        <v>3.0883522535744119E-2</v>
      </c>
      <c r="F15" s="4"/>
    </row>
    <row r="16" spans="1:15" x14ac:dyDescent="0.25">
      <c r="A16" s="3">
        <f>Data!B14</f>
        <v>11</v>
      </c>
      <c r="B16" s="20">
        <f>Data!C14</f>
        <v>314587.2</v>
      </c>
      <c r="C16" s="20">
        <f t="shared" si="0"/>
        <v>295546.70151756803</v>
      </c>
      <c r="D16" s="8">
        <f t="shared" si="1"/>
        <v>19040.498482431984</v>
      </c>
      <c r="E16" s="17">
        <f t="shared" si="2"/>
        <v>6.0525343950523045E-2</v>
      </c>
      <c r="F16" s="4"/>
    </row>
    <row r="17" spans="1:6" x14ac:dyDescent="0.25">
      <c r="A17" s="3">
        <f>Data!B15</f>
        <v>12</v>
      </c>
      <c r="B17" s="20">
        <f>Data!C15</f>
        <v>372885.8</v>
      </c>
      <c r="C17" s="20">
        <f t="shared" si="0"/>
        <v>299354.8012140544</v>
      </c>
      <c r="D17" s="8">
        <f t="shared" si="1"/>
        <v>73530.998785945587</v>
      </c>
      <c r="E17" s="17">
        <f t="shared" si="2"/>
        <v>0.19719441927245712</v>
      </c>
      <c r="F17" s="4"/>
    </row>
    <row r="18" spans="1:6" x14ac:dyDescent="0.25">
      <c r="A18" s="3">
        <f>Data!B16</f>
        <v>13</v>
      </c>
      <c r="B18" s="20">
        <f>Data!C16</f>
        <v>306537.53999999998</v>
      </c>
      <c r="C18" s="20">
        <f t="shared" si="0"/>
        <v>314061.00097124354</v>
      </c>
      <c r="D18" s="8">
        <f t="shared" si="1"/>
        <v>7523.4609712435631</v>
      </c>
      <c r="E18" s="17">
        <f t="shared" si="2"/>
        <v>2.4543359261131815E-2</v>
      </c>
      <c r="F18" s="4"/>
    </row>
    <row r="19" spans="1:6" x14ac:dyDescent="0.25">
      <c r="A19" s="3">
        <f>Data!B17</f>
        <v>14</v>
      </c>
      <c r="B19" s="20">
        <f>Data!C17</f>
        <v>289441.90000000002</v>
      </c>
      <c r="C19" s="20">
        <f t="shared" si="0"/>
        <v>312556.30877699482</v>
      </c>
      <c r="D19" s="8">
        <f t="shared" si="1"/>
        <v>23114.408776994795</v>
      </c>
      <c r="E19" s="17">
        <f t="shared" si="2"/>
        <v>7.9858544243230828E-2</v>
      </c>
      <c r="F19" s="4"/>
    </row>
    <row r="20" spans="1:6" x14ac:dyDescent="0.25">
      <c r="A20" s="3">
        <f>Data!B18</f>
        <v>15</v>
      </c>
      <c r="B20" s="20">
        <f>Data!C18</f>
        <v>324311.09999999998</v>
      </c>
      <c r="C20" s="20">
        <f t="shared" si="0"/>
        <v>307933.42702159588</v>
      </c>
      <c r="D20" s="8">
        <f t="shared" si="1"/>
        <v>16377.672978404094</v>
      </c>
      <c r="E20" s="17">
        <f t="shared" si="2"/>
        <v>5.049988414952216E-2</v>
      </c>
      <c r="F20" s="4"/>
    </row>
    <row r="21" spans="1:6" x14ac:dyDescent="0.25">
      <c r="A21" s="3">
        <f>Data!B19</f>
        <v>16</v>
      </c>
      <c r="B21" s="20">
        <f>Data!C19</f>
        <v>284183.09999999998</v>
      </c>
      <c r="C21" s="20">
        <f t="shared" si="0"/>
        <v>311208.96161727671</v>
      </c>
      <c r="D21" s="8">
        <f t="shared" si="1"/>
        <v>27025.861617276736</v>
      </c>
      <c r="E21" s="17">
        <f t="shared" si="2"/>
        <v>9.5100171745880521E-2</v>
      </c>
      <c r="F21" s="4"/>
    </row>
    <row r="22" spans="1:6" x14ac:dyDescent="0.25">
      <c r="A22" s="3">
        <f>Data!B20</f>
        <v>17</v>
      </c>
      <c r="B22" s="20">
        <f>Data!C20</f>
        <v>274069.5</v>
      </c>
      <c r="C22" s="20">
        <f t="shared" si="0"/>
        <v>305803.78929382138</v>
      </c>
      <c r="D22" s="8">
        <f t="shared" si="1"/>
        <v>31734.289293821377</v>
      </c>
      <c r="E22" s="17">
        <f t="shared" si="2"/>
        <v>0.1157892041756612</v>
      </c>
      <c r="F22" s="4"/>
    </row>
    <row r="23" spans="1:6" x14ac:dyDescent="0.25">
      <c r="A23" s="3">
        <f>Data!B21</f>
        <v>18</v>
      </c>
      <c r="B23" s="20" t="str">
        <f>Data!C21</f>
        <v/>
      </c>
      <c r="C23" s="20">
        <f t="shared" si="0"/>
        <v>299456.93143505708</v>
      </c>
      <c r="D23" s="8" t="str">
        <f t="shared" si="1"/>
        <v/>
      </c>
      <c r="E23" s="17" t="str">
        <f t="shared" si="2"/>
        <v/>
      </c>
      <c r="F23" s="4"/>
    </row>
    <row r="24" spans="1:6" x14ac:dyDescent="0.25">
      <c r="A24" s="3">
        <f>Data!B22</f>
        <v>19</v>
      </c>
      <c r="B24" s="20" t="str">
        <f>Data!C22</f>
        <v/>
      </c>
      <c r="C24" s="20" t="str">
        <f t="shared" si="0"/>
        <v/>
      </c>
      <c r="D24" s="8" t="str">
        <f t="shared" si="1"/>
        <v/>
      </c>
      <c r="E24" s="17" t="str">
        <f t="shared" si="2"/>
        <v/>
      </c>
      <c r="F24" s="4"/>
    </row>
    <row r="25" spans="1:6" x14ac:dyDescent="0.25">
      <c r="A25" s="3">
        <f>Data!B23</f>
        <v>20</v>
      </c>
      <c r="B25" s="20" t="str">
        <f>Data!C23</f>
        <v/>
      </c>
      <c r="C25" s="20" t="str">
        <f t="shared" si="0"/>
        <v/>
      </c>
      <c r="D25" s="8" t="str">
        <f t="shared" si="1"/>
        <v/>
      </c>
      <c r="E25" s="17" t="str">
        <f t="shared" si="2"/>
        <v/>
      </c>
      <c r="F25" s="4"/>
    </row>
    <row r="26" spans="1:6" x14ac:dyDescent="0.25">
      <c r="A26" s="3">
        <f>Data!B24</f>
        <v>21</v>
      </c>
      <c r="B26" s="20" t="str">
        <f>Data!C24</f>
        <v/>
      </c>
      <c r="C26" s="20" t="str">
        <f t="shared" si="0"/>
        <v/>
      </c>
      <c r="D26" s="8" t="str">
        <f t="shared" si="1"/>
        <v/>
      </c>
      <c r="E26" s="17" t="str">
        <f t="shared" si="2"/>
        <v/>
      </c>
      <c r="F26" s="4"/>
    </row>
    <row r="27" spans="1:6" x14ac:dyDescent="0.25">
      <c r="A27" s="3">
        <f>Data!B25</f>
        <v>22</v>
      </c>
      <c r="B27" s="20" t="str">
        <f>Data!C25</f>
        <v/>
      </c>
      <c r="C27" s="20" t="str">
        <f t="shared" si="0"/>
        <v/>
      </c>
      <c r="D27" s="8" t="str">
        <f t="shared" si="1"/>
        <v/>
      </c>
      <c r="E27" s="17" t="str">
        <f t="shared" si="2"/>
        <v/>
      </c>
      <c r="F27" s="4"/>
    </row>
    <row r="28" spans="1:6" x14ac:dyDescent="0.25">
      <c r="A28" s="3">
        <f>Data!B26</f>
        <v>23</v>
      </c>
      <c r="B28" s="20" t="str">
        <f>Data!C26</f>
        <v/>
      </c>
      <c r="C28" s="20" t="str">
        <f t="shared" si="0"/>
        <v/>
      </c>
      <c r="D28" s="8" t="str">
        <f t="shared" si="1"/>
        <v/>
      </c>
      <c r="E28" s="17" t="str">
        <f t="shared" si="2"/>
        <v/>
      </c>
      <c r="F28" s="4"/>
    </row>
    <row r="29" spans="1:6" x14ac:dyDescent="0.25">
      <c r="A29" s="3">
        <f>Data!B27</f>
        <v>24</v>
      </c>
      <c r="B29" s="20" t="str">
        <f>Data!C27</f>
        <v/>
      </c>
      <c r="C29" s="20" t="str">
        <f t="shared" si="0"/>
        <v/>
      </c>
      <c r="D29" s="8" t="str">
        <f t="shared" si="1"/>
        <v/>
      </c>
      <c r="E29" s="17" t="str">
        <f t="shared" si="2"/>
        <v/>
      </c>
      <c r="F29" s="4"/>
    </row>
    <row r="30" spans="1:6" x14ac:dyDescent="0.25">
      <c r="A30" s="3">
        <f>Data!B28</f>
        <v>25</v>
      </c>
      <c r="B30" s="20" t="str">
        <f>Data!C28</f>
        <v/>
      </c>
      <c r="C30" s="20" t="str">
        <f t="shared" si="0"/>
        <v/>
      </c>
      <c r="D30" s="8" t="str">
        <f t="shared" si="1"/>
        <v/>
      </c>
      <c r="E30" s="17" t="str">
        <f t="shared" si="2"/>
        <v/>
      </c>
      <c r="F30" s="4"/>
    </row>
    <row r="31" spans="1:6" x14ac:dyDescent="0.25">
      <c r="A31" s="3">
        <f>Data!B29</f>
        <v>26</v>
      </c>
      <c r="B31" s="20" t="str">
        <f>Data!C29</f>
        <v/>
      </c>
      <c r="C31" s="20" t="str">
        <f t="shared" si="0"/>
        <v/>
      </c>
      <c r="D31" s="8" t="str">
        <f t="shared" si="1"/>
        <v/>
      </c>
      <c r="E31" s="17" t="str">
        <f t="shared" si="2"/>
        <v/>
      </c>
      <c r="F31" s="4"/>
    </row>
    <row r="32" spans="1:6" x14ac:dyDescent="0.25">
      <c r="A32" s="3">
        <f>Data!B30</f>
        <v>27</v>
      </c>
      <c r="B32" s="20" t="str">
        <f>Data!C30</f>
        <v/>
      </c>
      <c r="C32" s="20" t="str">
        <f t="shared" si="0"/>
        <v/>
      </c>
      <c r="D32" s="8" t="str">
        <f t="shared" si="1"/>
        <v/>
      </c>
      <c r="E32" s="17" t="str">
        <f t="shared" si="2"/>
        <v/>
      </c>
      <c r="F32" s="4"/>
    </row>
    <row r="33" spans="1:6" x14ac:dyDescent="0.25">
      <c r="A33" s="3">
        <f>Data!B31</f>
        <v>28</v>
      </c>
      <c r="B33" s="20" t="str">
        <f>Data!C31</f>
        <v/>
      </c>
      <c r="C33" s="20" t="str">
        <f t="shared" si="0"/>
        <v/>
      </c>
      <c r="D33" s="8" t="str">
        <f t="shared" si="1"/>
        <v/>
      </c>
      <c r="E33" s="17" t="str">
        <f t="shared" si="2"/>
        <v/>
      </c>
      <c r="F33" s="4"/>
    </row>
    <row r="34" spans="1:6" x14ac:dyDescent="0.25">
      <c r="A34" s="3">
        <f>Data!B32</f>
        <v>29</v>
      </c>
      <c r="B34" s="20" t="str">
        <f>Data!C32</f>
        <v/>
      </c>
      <c r="C34" s="20" t="str">
        <f t="shared" si="0"/>
        <v/>
      </c>
      <c r="D34" s="8" t="str">
        <f t="shared" si="1"/>
        <v/>
      </c>
      <c r="E34" s="17" t="str">
        <f t="shared" si="2"/>
        <v/>
      </c>
      <c r="F34" s="4"/>
    </row>
    <row r="35" spans="1:6" x14ac:dyDescent="0.25">
      <c r="A35" s="3">
        <f>Data!B33</f>
        <v>30</v>
      </c>
      <c r="B35" s="20" t="str">
        <f>Data!C33</f>
        <v/>
      </c>
      <c r="C35" s="20" t="str">
        <f t="shared" si="0"/>
        <v/>
      </c>
      <c r="D35" s="8" t="str">
        <f t="shared" si="1"/>
        <v/>
      </c>
      <c r="E35" s="17" t="str">
        <f t="shared" si="2"/>
        <v/>
      </c>
      <c r="F35" s="4"/>
    </row>
    <row r="36" spans="1:6" x14ac:dyDescent="0.25">
      <c r="A36" s="3">
        <f>Data!B34</f>
        <v>31</v>
      </c>
      <c r="B36" s="20" t="str">
        <f>Data!C34</f>
        <v/>
      </c>
      <c r="C36" s="20" t="str">
        <f t="shared" si="0"/>
        <v/>
      </c>
      <c r="D36" s="8" t="str">
        <f t="shared" si="1"/>
        <v/>
      </c>
      <c r="E36" s="17" t="str">
        <f t="shared" si="2"/>
        <v/>
      </c>
      <c r="F36" s="4"/>
    </row>
    <row r="37" spans="1:6" x14ac:dyDescent="0.25">
      <c r="A37" s="3">
        <f>Data!B35</f>
        <v>32</v>
      </c>
      <c r="B37" s="20" t="str">
        <f>Data!C35</f>
        <v/>
      </c>
      <c r="C37" s="20" t="str">
        <f t="shared" si="0"/>
        <v/>
      </c>
      <c r="D37" s="8" t="str">
        <f t="shared" si="1"/>
        <v/>
      </c>
      <c r="E37" s="17" t="str">
        <f t="shared" si="2"/>
        <v/>
      </c>
      <c r="F37" s="4"/>
    </row>
    <row r="38" spans="1:6" x14ac:dyDescent="0.25">
      <c r="A38" s="3">
        <f>Data!B36</f>
        <v>33</v>
      </c>
      <c r="B38" s="20" t="str">
        <f>Data!C36</f>
        <v/>
      </c>
      <c r="C38" s="20" t="str">
        <f t="shared" si="0"/>
        <v/>
      </c>
      <c r="D38" s="8" t="str">
        <f t="shared" si="1"/>
        <v/>
      </c>
      <c r="E38" s="17" t="str">
        <f t="shared" si="2"/>
        <v/>
      </c>
      <c r="F38" s="4"/>
    </row>
    <row r="39" spans="1:6" x14ac:dyDescent="0.25">
      <c r="A39" s="3">
        <f>Data!B37</f>
        <v>34</v>
      </c>
      <c r="B39" s="20" t="str">
        <f>Data!C37</f>
        <v/>
      </c>
      <c r="C39" s="20" t="str">
        <f t="shared" si="0"/>
        <v/>
      </c>
      <c r="D39" s="8" t="str">
        <f t="shared" si="1"/>
        <v/>
      </c>
      <c r="E39" s="17" t="str">
        <f t="shared" si="2"/>
        <v/>
      </c>
      <c r="F39" s="4"/>
    </row>
    <row r="40" spans="1:6" x14ac:dyDescent="0.25">
      <c r="A40" s="3">
        <f>Data!B38</f>
        <v>35</v>
      </c>
      <c r="B40" s="20" t="str">
        <f>Data!C38</f>
        <v/>
      </c>
      <c r="C40" s="20" t="str">
        <f t="shared" si="0"/>
        <v/>
      </c>
      <c r="D40" s="8" t="str">
        <f t="shared" si="1"/>
        <v/>
      </c>
      <c r="E40" s="17" t="str">
        <f t="shared" si="2"/>
        <v/>
      </c>
      <c r="F40" s="4"/>
    </row>
    <row r="41" spans="1:6" x14ac:dyDescent="0.25">
      <c r="A41" s="3">
        <f>Data!B39</f>
        <v>36</v>
      </c>
      <c r="B41" s="20" t="str">
        <f>Data!C39</f>
        <v/>
      </c>
      <c r="C41" s="20" t="str">
        <f t="shared" si="0"/>
        <v/>
      </c>
      <c r="D41" s="8" t="str">
        <f t="shared" si="1"/>
        <v/>
      </c>
      <c r="E41" s="17" t="str">
        <f t="shared" si="2"/>
        <v/>
      </c>
      <c r="F41" s="4"/>
    </row>
    <row r="42" spans="1:6" x14ac:dyDescent="0.25">
      <c r="A42" s="3">
        <f>Data!B40</f>
        <v>37</v>
      </c>
      <c r="B42" s="20" t="str">
        <f>Data!C40</f>
        <v/>
      </c>
      <c r="C42" s="20" t="str">
        <f t="shared" si="0"/>
        <v/>
      </c>
      <c r="D42" s="8" t="str">
        <f t="shared" si="1"/>
        <v/>
      </c>
      <c r="E42" s="17" t="str">
        <f t="shared" si="2"/>
        <v/>
      </c>
      <c r="F42" s="4"/>
    </row>
    <row r="43" spans="1:6" x14ac:dyDescent="0.25">
      <c r="A43" s="3">
        <f>Data!B41</f>
        <v>38</v>
      </c>
      <c r="B43" s="20" t="str">
        <f>Data!C41</f>
        <v/>
      </c>
      <c r="C43" s="20" t="str">
        <f t="shared" si="0"/>
        <v/>
      </c>
      <c r="D43" s="8" t="str">
        <f t="shared" si="1"/>
        <v/>
      </c>
      <c r="E43" s="17" t="str">
        <f t="shared" si="2"/>
        <v/>
      </c>
      <c r="F43" s="4"/>
    </row>
    <row r="44" spans="1:6" x14ac:dyDescent="0.25">
      <c r="A44" s="3">
        <f>Data!B42</f>
        <v>39</v>
      </c>
      <c r="B44" s="20" t="str">
        <f>Data!C42</f>
        <v/>
      </c>
      <c r="C44" s="20" t="str">
        <f t="shared" si="0"/>
        <v/>
      </c>
      <c r="D44" s="8" t="str">
        <f t="shared" si="1"/>
        <v/>
      </c>
      <c r="E44" s="17" t="str">
        <f t="shared" si="2"/>
        <v/>
      </c>
      <c r="F44" s="4"/>
    </row>
    <row r="45" spans="1:6" x14ac:dyDescent="0.25">
      <c r="A45" s="3">
        <f>Data!B43</f>
        <v>40</v>
      </c>
      <c r="B45" s="20" t="str">
        <f>Data!C43</f>
        <v/>
      </c>
      <c r="C45" s="20" t="str">
        <f t="shared" si="0"/>
        <v/>
      </c>
      <c r="D45" s="8" t="str">
        <f t="shared" si="1"/>
        <v/>
      </c>
      <c r="E45" s="17" t="str">
        <f t="shared" si="2"/>
        <v/>
      </c>
      <c r="F45" s="4"/>
    </row>
    <row r="46" spans="1:6" x14ac:dyDescent="0.25">
      <c r="A46" s="3">
        <f>Data!B44</f>
        <v>41</v>
      </c>
      <c r="B46" s="20" t="str">
        <f>Data!C44</f>
        <v/>
      </c>
      <c r="C46" s="20" t="str">
        <f t="shared" si="0"/>
        <v/>
      </c>
      <c r="D46" s="8" t="str">
        <f t="shared" si="1"/>
        <v/>
      </c>
      <c r="E46" s="17" t="str">
        <f t="shared" si="2"/>
        <v/>
      </c>
      <c r="F46" s="4"/>
    </row>
    <row r="47" spans="1:6" x14ac:dyDescent="0.25">
      <c r="A47" s="3">
        <f>Data!B45</f>
        <v>42</v>
      </c>
      <c r="B47" s="20" t="str">
        <f>Data!C45</f>
        <v/>
      </c>
      <c r="C47" s="20" t="str">
        <f t="shared" si="0"/>
        <v/>
      </c>
      <c r="D47" s="8" t="str">
        <f t="shared" si="1"/>
        <v/>
      </c>
      <c r="E47" s="17" t="str">
        <f t="shared" si="2"/>
        <v/>
      </c>
      <c r="F47" s="4"/>
    </row>
    <row r="48" spans="1:6" x14ac:dyDescent="0.25">
      <c r="A48" s="3">
        <f>Data!B46</f>
        <v>43</v>
      </c>
      <c r="B48" s="20" t="str">
        <f>Data!C46</f>
        <v/>
      </c>
      <c r="C48" s="20" t="str">
        <f t="shared" si="0"/>
        <v/>
      </c>
      <c r="D48" s="8" t="str">
        <f t="shared" si="1"/>
        <v/>
      </c>
      <c r="E48" s="17" t="str">
        <f t="shared" si="2"/>
        <v/>
      </c>
      <c r="F48" s="4"/>
    </row>
    <row r="49" spans="1:12" x14ac:dyDescent="0.25">
      <c r="A49" s="3">
        <f>Data!B47</f>
        <v>44</v>
      </c>
      <c r="B49" s="20" t="str">
        <f>Data!C47</f>
        <v/>
      </c>
      <c r="C49" s="20" t="str">
        <f t="shared" si="0"/>
        <v/>
      </c>
      <c r="D49" s="8" t="str">
        <f t="shared" si="1"/>
        <v/>
      </c>
      <c r="E49" s="17" t="str">
        <f t="shared" si="2"/>
        <v/>
      </c>
      <c r="F49" s="4"/>
    </row>
    <row r="50" spans="1:12" x14ac:dyDescent="0.25">
      <c r="A50" s="3">
        <f>Data!B48</f>
        <v>45</v>
      </c>
      <c r="B50" s="20" t="str">
        <f>Data!C48</f>
        <v/>
      </c>
      <c r="C50" s="20" t="str">
        <f t="shared" si="0"/>
        <v/>
      </c>
      <c r="D50" s="8" t="str">
        <f t="shared" si="1"/>
        <v/>
      </c>
      <c r="E50" s="17" t="str">
        <f t="shared" si="2"/>
        <v/>
      </c>
      <c r="F50" s="4"/>
    </row>
    <row r="51" spans="1:12" x14ac:dyDescent="0.25">
      <c r="A51" s="3">
        <f>Data!B49</f>
        <v>46</v>
      </c>
      <c r="B51" s="20" t="str">
        <f>Data!C49</f>
        <v/>
      </c>
      <c r="C51" s="20" t="str">
        <f t="shared" si="0"/>
        <v/>
      </c>
      <c r="D51" s="8" t="str">
        <f t="shared" si="1"/>
        <v/>
      </c>
      <c r="E51" s="17" t="str">
        <f t="shared" si="2"/>
        <v/>
      </c>
      <c r="F51" s="4"/>
    </row>
    <row r="52" spans="1:12" x14ac:dyDescent="0.25">
      <c r="A52" s="3">
        <f>Data!B50</f>
        <v>47</v>
      </c>
      <c r="B52" s="20" t="str">
        <f>Data!C50</f>
        <v/>
      </c>
      <c r="C52" s="20" t="str">
        <f t="shared" si="0"/>
        <v/>
      </c>
      <c r="D52" s="8" t="str">
        <f t="shared" si="1"/>
        <v/>
      </c>
      <c r="E52" s="17" t="str">
        <f t="shared" si="2"/>
        <v/>
      </c>
      <c r="F52" s="4"/>
    </row>
    <row r="53" spans="1:12" x14ac:dyDescent="0.25">
      <c r="A53" s="3">
        <f>Data!B51</f>
        <v>48</v>
      </c>
      <c r="B53" s="20" t="str">
        <f>Data!C51</f>
        <v/>
      </c>
      <c r="C53" s="20" t="str">
        <f t="shared" si="0"/>
        <v/>
      </c>
      <c r="D53" s="8" t="str">
        <f t="shared" si="1"/>
        <v/>
      </c>
      <c r="E53" s="17" t="str">
        <f t="shared" si="2"/>
        <v/>
      </c>
      <c r="F53" s="4"/>
    </row>
    <row r="54" spans="1:12" x14ac:dyDescent="0.25">
      <c r="A54" s="3">
        <f>Data!B52</f>
        <v>49</v>
      </c>
      <c r="B54" s="20" t="str">
        <f>Data!C52</f>
        <v/>
      </c>
      <c r="C54" s="20" t="str">
        <f t="shared" si="0"/>
        <v/>
      </c>
      <c r="D54" s="8" t="str">
        <f t="shared" si="1"/>
        <v/>
      </c>
      <c r="E54" s="17" t="str">
        <f t="shared" si="2"/>
        <v/>
      </c>
      <c r="F54" s="4"/>
    </row>
    <row r="55" spans="1:12" x14ac:dyDescent="0.25">
      <c r="A55" s="3">
        <f>Data!B53</f>
        <v>50</v>
      </c>
      <c r="B55" s="20" t="str">
        <f>Data!C53</f>
        <v/>
      </c>
      <c r="C55" s="20" t="str">
        <f t="shared" si="0"/>
        <v/>
      </c>
      <c r="D55" s="8" t="str">
        <f t="shared" si="1"/>
        <v/>
      </c>
      <c r="E55" s="17" t="str">
        <f t="shared" si="2"/>
        <v/>
      </c>
      <c r="F55" s="4"/>
    </row>
    <row r="56" spans="1:12" x14ac:dyDescent="0.25">
      <c r="A56" s="3">
        <f>Data!B54</f>
        <v>51</v>
      </c>
      <c r="B56" s="20" t="str">
        <f>Data!C54</f>
        <v/>
      </c>
      <c r="C56" s="20" t="str">
        <f t="shared" si="0"/>
        <v/>
      </c>
      <c r="D56" s="8" t="str">
        <f t="shared" si="1"/>
        <v/>
      </c>
      <c r="E56" s="17" t="str">
        <f t="shared" si="2"/>
        <v/>
      </c>
      <c r="F56" s="4"/>
    </row>
    <row r="57" spans="1:12" x14ac:dyDescent="0.25">
      <c r="A57" s="3">
        <f>Data!B55</f>
        <v>52</v>
      </c>
      <c r="B57" s="20" t="str">
        <f>Data!C55</f>
        <v/>
      </c>
      <c r="C57" s="20" t="str">
        <f t="shared" si="0"/>
        <v/>
      </c>
      <c r="D57" s="8" t="str">
        <f t="shared" si="1"/>
        <v/>
      </c>
      <c r="E57" s="17" t="str">
        <f t="shared" si="2"/>
        <v/>
      </c>
      <c r="F57" s="4"/>
    </row>
    <row r="58" spans="1:12" x14ac:dyDescent="0.25">
      <c r="A58" s="3">
        <f>Data!B56</f>
        <v>53</v>
      </c>
      <c r="B58" s="20" t="str">
        <f>Data!C56</f>
        <v/>
      </c>
      <c r="C58" s="20" t="str">
        <f t="shared" si="0"/>
        <v/>
      </c>
      <c r="D58" s="8" t="str">
        <f t="shared" si="1"/>
        <v/>
      </c>
      <c r="E58" s="17" t="str">
        <f t="shared" si="2"/>
        <v/>
      </c>
      <c r="F58" s="4"/>
    </row>
    <row r="59" spans="1:12" x14ac:dyDescent="0.25">
      <c r="A59" s="3">
        <f>Data!B57</f>
        <v>54</v>
      </c>
      <c r="B59" s="20" t="str">
        <f>Data!C57</f>
        <v/>
      </c>
      <c r="C59" s="20" t="str">
        <f t="shared" si="0"/>
        <v/>
      </c>
      <c r="D59" s="8" t="str">
        <f t="shared" si="1"/>
        <v/>
      </c>
      <c r="E59" s="17" t="str">
        <f t="shared" si="2"/>
        <v/>
      </c>
      <c r="F59" s="4"/>
      <c r="J59" s="13"/>
      <c r="K59" s="13"/>
      <c r="L59" s="13"/>
    </row>
    <row r="60" spans="1:12" x14ac:dyDescent="0.25">
      <c r="B60" s="20" t="str">
        <f>Data!C58</f>
        <v/>
      </c>
      <c r="C60" s="20" t="str">
        <f t="shared" si="0"/>
        <v/>
      </c>
      <c r="D60" s="8" t="str">
        <f t="shared" si="1"/>
        <v/>
      </c>
      <c r="E60" s="8"/>
      <c r="J60" s="13"/>
      <c r="K60" s="13"/>
      <c r="L60" s="1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60"/>
  <sheetViews>
    <sheetView workbookViewId="0">
      <selection activeCell="F16" sqref="F16"/>
    </sheetView>
  </sheetViews>
  <sheetFormatPr defaultRowHeight="15" x14ac:dyDescent="0.25"/>
  <cols>
    <col min="1" max="1" width="8.85546875" style="3"/>
    <col min="2" max="2" width="14.7109375" customWidth="1"/>
    <col min="3" max="3" width="13.28515625" style="13" bestFit="1" customWidth="1"/>
    <col min="4" max="4" width="11.7109375" style="13" bestFit="1" customWidth="1"/>
    <col min="5" max="5" width="11" style="13" bestFit="1" customWidth="1"/>
    <col min="6" max="6" width="14.5703125" bestFit="1" customWidth="1"/>
    <col min="8" max="8" width="10" bestFit="1" customWidth="1"/>
    <col min="11" max="11" width="12.5703125" bestFit="1" customWidth="1"/>
    <col min="12" max="12" width="10.7109375" bestFit="1" customWidth="1"/>
    <col min="13" max="13" width="12.5703125" bestFit="1" customWidth="1"/>
  </cols>
  <sheetData>
    <row r="1" spans="1:15" ht="30" x14ac:dyDescent="0.25">
      <c r="A1" s="38" t="s">
        <v>111</v>
      </c>
      <c r="B1" s="39" t="s">
        <v>117</v>
      </c>
    </row>
    <row r="2" spans="1:15" x14ac:dyDescent="0.25">
      <c r="A2" s="40">
        <f>Data!C2</f>
        <v>8</v>
      </c>
      <c r="B2" s="47" t="str">
        <f>Select_Data!B2</f>
        <v>Cost-yt8</v>
      </c>
      <c r="G2" s="54" t="s">
        <v>121</v>
      </c>
      <c r="H2" s="53"/>
    </row>
    <row r="3" spans="1:15" ht="30" x14ac:dyDescent="0.25">
      <c r="A3" s="9" t="s">
        <v>1</v>
      </c>
      <c r="B3" s="9" t="s">
        <v>87</v>
      </c>
      <c r="C3" s="9" t="s">
        <v>115</v>
      </c>
      <c r="D3" s="9" t="s">
        <v>5</v>
      </c>
      <c r="E3" s="43" t="s">
        <v>116</v>
      </c>
      <c r="G3" s="52" t="s">
        <v>122</v>
      </c>
      <c r="H3" s="53"/>
      <c r="I3" s="53"/>
      <c r="M3" s="36" t="s">
        <v>108</v>
      </c>
      <c r="N3" s="36" t="s">
        <v>118</v>
      </c>
      <c r="O3" s="36" t="s">
        <v>119</v>
      </c>
    </row>
    <row r="4" spans="1:15" x14ac:dyDescent="0.25">
      <c r="A4" s="10">
        <v>0.2</v>
      </c>
      <c r="B4" s="46">
        <f>CORREL(B6:B58,D7:D59)</f>
        <v>-0.31492404652939526</v>
      </c>
      <c r="C4" s="46">
        <f>(SUMXMY2(B7:B59,C7:C59)/COUNT(B7:B59))</f>
        <v>2464832763.4283099</v>
      </c>
      <c r="D4" s="48">
        <f>SUM(D7:D59)/COUNT(D7:D59)</f>
        <v>38617.273655872363</v>
      </c>
      <c r="E4" s="49">
        <f>SUM(E7:E59)/COUNT(B7:B60)</f>
        <v>0.12219916760876906</v>
      </c>
      <c r="M4" t="str">
        <f>CONCATENATE("B6:B",COUNT($B$6:$B$60)+5)</f>
        <v>B6:B22</v>
      </c>
      <c r="N4" t="str">
        <f>CONCATENATE("C7:C",COUNT($C$7:$C$60)+6)</f>
        <v>C7:C23</v>
      </c>
      <c r="O4" t="str">
        <f>CONCATENATE("C7:C",COUNT($B$7:$B$60)+7)</f>
        <v>C7:C23</v>
      </c>
    </row>
    <row r="5" spans="1:15" x14ac:dyDescent="0.25">
      <c r="A5" s="6" t="s">
        <v>21</v>
      </c>
      <c r="B5" s="51" t="str">
        <f>Data!D3</f>
        <v>Cost-yt1</v>
      </c>
      <c r="C5" s="50" t="s">
        <v>100</v>
      </c>
      <c r="D5" s="14" t="s">
        <v>4</v>
      </c>
      <c r="E5" s="14" t="s">
        <v>6</v>
      </c>
      <c r="F5" s="4"/>
      <c r="G5" s="4"/>
    </row>
    <row r="6" spans="1:15" x14ac:dyDescent="0.25">
      <c r="A6" s="3">
        <f>Data!B4</f>
        <v>1</v>
      </c>
      <c r="B6" s="20">
        <f>Data!C4</f>
        <v>213078</v>
      </c>
      <c r="C6" s="20"/>
      <c r="D6" s="8"/>
      <c r="E6"/>
      <c r="F6" s="4"/>
    </row>
    <row r="7" spans="1:15" x14ac:dyDescent="0.25">
      <c r="A7" s="3">
        <f>Data!B5</f>
        <v>2</v>
      </c>
      <c r="B7" s="20">
        <f>Data!C5</f>
        <v>240858</v>
      </c>
      <c r="C7" s="20">
        <f>B6</f>
        <v>213078</v>
      </c>
      <c r="D7" s="8">
        <f>IF(B7="","",ABS(B7-C7))</f>
        <v>27780</v>
      </c>
      <c r="E7" s="17">
        <f>IF(B7="","",D7/B7)</f>
        <v>0.11533766783748101</v>
      </c>
      <c r="F7" s="4"/>
    </row>
    <row r="8" spans="1:15" x14ac:dyDescent="0.25">
      <c r="A8" s="3">
        <f>Data!B6</f>
        <v>3</v>
      </c>
      <c r="B8" s="20">
        <f>Data!C6</f>
        <v>282563.70000000007</v>
      </c>
      <c r="C8" s="20">
        <f>IF(B7="","",$A$4*B7+(1-$A$4)*C7)</f>
        <v>218634.00000000003</v>
      </c>
      <c r="D8" s="8">
        <f t="shared" ref="D8:D60" si="0">IF(B8="","",ABS(B8-C8))</f>
        <v>63929.700000000041</v>
      </c>
      <c r="E8" s="17">
        <f t="shared" ref="E8:E59" si="1">IF(B8="","",D8/B8)</f>
        <v>0.22624880690619503</v>
      </c>
      <c r="F8" s="4"/>
    </row>
    <row r="9" spans="1:15" x14ac:dyDescent="0.25">
      <c r="A9" s="3">
        <f>Data!B7</f>
        <v>4</v>
      </c>
      <c r="B9" s="20">
        <f>Data!C7</f>
        <v>227827.1</v>
      </c>
      <c r="C9" s="20">
        <f t="shared" ref="C9:C60" si="2">IF(B8="","",$A$4*B8+(1-$A$4)*C8)</f>
        <v>231419.94000000006</v>
      </c>
      <c r="D9" s="8">
        <f t="shared" si="0"/>
        <v>3592.8400000000547</v>
      </c>
      <c r="E9" s="17">
        <f t="shared" si="1"/>
        <v>1.5770029114183758E-2</v>
      </c>
      <c r="F9" s="4"/>
    </row>
    <row r="10" spans="1:15" x14ac:dyDescent="0.25">
      <c r="A10" s="3">
        <f>Data!B8</f>
        <v>5</v>
      </c>
      <c r="B10" s="20">
        <f>Data!C8</f>
        <v>294816</v>
      </c>
      <c r="C10" s="20">
        <f t="shared" si="2"/>
        <v>230701.37200000006</v>
      </c>
      <c r="D10" s="8">
        <f t="shared" si="0"/>
        <v>64114.627999999939</v>
      </c>
      <c r="E10" s="17">
        <f t="shared" si="1"/>
        <v>0.21747336643872767</v>
      </c>
      <c r="F10" s="4"/>
    </row>
    <row r="11" spans="1:15" x14ac:dyDescent="0.25">
      <c r="A11" s="3">
        <f>Data!B9</f>
        <v>6</v>
      </c>
      <c r="B11" s="20">
        <f>Data!C9</f>
        <v>359881</v>
      </c>
      <c r="C11" s="20">
        <f t="shared" si="2"/>
        <v>243524.29760000008</v>
      </c>
      <c r="D11" s="8">
        <f t="shared" si="0"/>
        <v>116356.70239999992</v>
      </c>
      <c r="E11" s="17">
        <f t="shared" si="1"/>
        <v>0.32331993742375931</v>
      </c>
      <c r="F11" s="4"/>
    </row>
    <row r="12" spans="1:15" x14ac:dyDescent="0.25">
      <c r="A12" s="3">
        <f>Data!B10</f>
        <v>7</v>
      </c>
      <c r="B12" s="20">
        <f>Data!C10</f>
        <v>283609.2</v>
      </c>
      <c r="C12" s="20">
        <f t="shared" si="2"/>
        <v>266795.63808000006</v>
      </c>
      <c r="D12" s="8">
        <f t="shared" si="0"/>
        <v>16813.561919999949</v>
      </c>
      <c r="E12" s="17">
        <f t="shared" si="1"/>
        <v>5.9284261300408973E-2</v>
      </c>
      <c r="F12" s="4"/>
    </row>
    <row r="13" spans="1:15" x14ac:dyDescent="0.25">
      <c r="A13" s="3">
        <f>Data!B11</f>
        <v>8</v>
      </c>
      <c r="B13" s="20">
        <f>Data!C11</f>
        <v>303780.11</v>
      </c>
      <c r="C13" s="20">
        <f t="shared" si="2"/>
        <v>270158.35046400008</v>
      </c>
      <c r="D13" s="8">
        <f t="shared" si="0"/>
        <v>33621.75953599991</v>
      </c>
      <c r="E13" s="17">
        <f t="shared" si="1"/>
        <v>0.11067794904676251</v>
      </c>
      <c r="F13" s="4"/>
    </row>
    <row r="14" spans="1:15" x14ac:dyDescent="0.25">
      <c r="A14" s="3">
        <f>Data!B12</f>
        <v>9</v>
      </c>
      <c r="B14" s="20">
        <f>Data!C12</f>
        <v>360843.95</v>
      </c>
      <c r="C14" s="20">
        <f t="shared" si="2"/>
        <v>276882.70237120008</v>
      </c>
      <c r="D14" s="8">
        <f t="shared" si="0"/>
        <v>83961.247628799931</v>
      </c>
      <c r="E14" s="17">
        <f t="shared" si="1"/>
        <v>0.23268021433863564</v>
      </c>
      <c r="F14" s="4"/>
    </row>
    <row r="15" spans="1:15" x14ac:dyDescent="0.25">
      <c r="A15" s="3">
        <f>Data!B13</f>
        <v>10</v>
      </c>
      <c r="B15" s="20">
        <f>Data!C13</f>
        <v>303033.69999999995</v>
      </c>
      <c r="C15" s="20">
        <f t="shared" si="2"/>
        <v>293674.95189696009</v>
      </c>
      <c r="D15" s="8">
        <f t="shared" si="0"/>
        <v>9358.7481030398631</v>
      </c>
      <c r="E15" s="17">
        <f t="shared" si="1"/>
        <v>3.0883522535743928E-2</v>
      </c>
      <c r="F15" s="4"/>
    </row>
    <row r="16" spans="1:15" x14ac:dyDescent="0.25">
      <c r="A16" s="3">
        <f>Data!B14</f>
        <v>11</v>
      </c>
      <c r="B16" s="20">
        <f>Data!C14</f>
        <v>314587.2</v>
      </c>
      <c r="C16" s="20">
        <f t="shared" si="2"/>
        <v>295546.70151756809</v>
      </c>
      <c r="D16" s="8">
        <f t="shared" si="0"/>
        <v>19040.498482431925</v>
      </c>
      <c r="E16" s="17">
        <f t="shared" si="1"/>
        <v>6.0525343950522857E-2</v>
      </c>
      <c r="F16" s="4"/>
    </row>
    <row r="17" spans="1:7" x14ac:dyDescent="0.25">
      <c r="A17" s="3">
        <f>Data!B15</f>
        <v>12</v>
      </c>
      <c r="B17" s="20">
        <f>Data!C15</f>
        <v>372885.8</v>
      </c>
      <c r="C17" s="20">
        <f t="shared" si="2"/>
        <v>299354.80121405446</v>
      </c>
      <c r="D17" s="8">
        <f t="shared" si="0"/>
        <v>73530.998785945529</v>
      </c>
      <c r="E17" s="17">
        <f t="shared" si="1"/>
        <v>0.19719441927245696</v>
      </c>
      <c r="F17" s="4"/>
    </row>
    <row r="18" spans="1:7" x14ac:dyDescent="0.25">
      <c r="A18" s="3">
        <f>Data!B16</f>
        <v>13</v>
      </c>
      <c r="B18" s="20">
        <f>Data!C16</f>
        <v>306537.53999999998</v>
      </c>
      <c r="C18" s="20">
        <f t="shared" si="2"/>
        <v>314061.0009712436</v>
      </c>
      <c r="D18" s="8">
        <f t="shared" si="0"/>
        <v>7523.4609712436213</v>
      </c>
      <c r="E18" s="17">
        <f t="shared" si="1"/>
        <v>2.4543359261132002E-2</v>
      </c>
      <c r="F18" s="4"/>
    </row>
    <row r="19" spans="1:7" x14ac:dyDescent="0.25">
      <c r="A19" s="3">
        <f>Data!B17</f>
        <v>14</v>
      </c>
      <c r="B19" s="20">
        <f>Data!C17</f>
        <v>289441.90000000002</v>
      </c>
      <c r="C19" s="20">
        <f t="shared" si="2"/>
        <v>312556.30877699493</v>
      </c>
      <c r="D19" s="8">
        <f t="shared" si="0"/>
        <v>23114.408776994911</v>
      </c>
      <c r="E19" s="17">
        <f t="shared" si="1"/>
        <v>7.985854424323123E-2</v>
      </c>
      <c r="F19" s="4"/>
    </row>
    <row r="20" spans="1:7" x14ac:dyDescent="0.25">
      <c r="A20" s="3">
        <f>Data!B18</f>
        <v>15</v>
      </c>
      <c r="B20" s="20">
        <f>Data!C18</f>
        <v>324311.09999999998</v>
      </c>
      <c r="C20" s="20">
        <f t="shared" si="2"/>
        <v>307933.427021596</v>
      </c>
      <c r="D20" s="8">
        <f t="shared" si="0"/>
        <v>16377.672978403978</v>
      </c>
      <c r="E20" s="17">
        <f t="shared" si="1"/>
        <v>5.04998841495218E-2</v>
      </c>
      <c r="F20" s="4"/>
    </row>
    <row r="21" spans="1:7" x14ac:dyDescent="0.25">
      <c r="A21" s="3">
        <f>Data!B19</f>
        <v>16</v>
      </c>
      <c r="B21" s="20">
        <f>Data!C19</f>
        <v>284183.09999999998</v>
      </c>
      <c r="C21" s="20">
        <f t="shared" si="2"/>
        <v>311208.96161727677</v>
      </c>
      <c r="D21" s="8">
        <f t="shared" si="0"/>
        <v>27025.861617276794</v>
      </c>
      <c r="E21" s="17">
        <f t="shared" si="1"/>
        <v>9.5100171745880729E-2</v>
      </c>
      <c r="F21" s="4"/>
    </row>
    <row r="22" spans="1:7" x14ac:dyDescent="0.25">
      <c r="A22" s="3">
        <f>Data!B20</f>
        <v>17</v>
      </c>
      <c r="B22" s="20">
        <f>Data!C20</f>
        <v>274069.5</v>
      </c>
      <c r="C22" s="20">
        <f t="shared" si="2"/>
        <v>305803.78929382144</v>
      </c>
      <c r="D22" s="8">
        <f t="shared" si="0"/>
        <v>31734.289293821435</v>
      </c>
      <c r="E22" s="17">
        <f t="shared" si="1"/>
        <v>0.11578920417566141</v>
      </c>
      <c r="F22" s="4"/>
      <c r="G22" s="4"/>
    </row>
    <row r="23" spans="1:7" x14ac:dyDescent="0.25">
      <c r="A23" s="3">
        <f>Data!B21</f>
        <v>18</v>
      </c>
      <c r="B23" s="20" t="str">
        <f>Data!C21</f>
        <v/>
      </c>
      <c r="C23" s="20">
        <f t="shared" si="2"/>
        <v>299456.93143505719</v>
      </c>
      <c r="D23" s="8" t="str">
        <f t="shared" si="0"/>
        <v/>
      </c>
      <c r="E23" s="17" t="str">
        <f t="shared" si="1"/>
        <v/>
      </c>
      <c r="F23" s="4"/>
      <c r="G23" s="4"/>
    </row>
    <row r="24" spans="1:7" x14ac:dyDescent="0.25">
      <c r="A24" s="3">
        <f>Data!B22</f>
        <v>19</v>
      </c>
      <c r="B24" s="20" t="str">
        <f>Data!C22</f>
        <v/>
      </c>
      <c r="C24" s="20" t="str">
        <f t="shared" si="2"/>
        <v/>
      </c>
      <c r="D24" s="8" t="str">
        <f t="shared" si="0"/>
        <v/>
      </c>
      <c r="E24" s="17" t="str">
        <f t="shared" si="1"/>
        <v/>
      </c>
      <c r="F24" s="4"/>
      <c r="G24" s="4"/>
    </row>
    <row r="25" spans="1:7" x14ac:dyDescent="0.25">
      <c r="A25" s="3">
        <f>Data!B23</f>
        <v>20</v>
      </c>
      <c r="B25" s="20" t="str">
        <f>Data!C23</f>
        <v/>
      </c>
      <c r="C25" s="20" t="str">
        <f t="shared" si="2"/>
        <v/>
      </c>
      <c r="D25" s="8" t="str">
        <f t="shared" si="0"/>
        <v/>
      </c>
      <c r="E25" s="17" t="str">
        <f t="shared" si="1"/>
        <v/>
      </c>
      <c r="F25" s="4"/>
      <c r="G25" s="4"/>
    </row>
    <row r="26" spans="1:7" x14ac:dyDescent="0.25">
      <c r="A26" s="3">
        <f>Data!B24</f>
        <v>21</v>
      </c>
      <c r="B26" s="20" t="str">
        <f>Data!C24</f>
        <v/>
      </c>
      <c r="C26" s="20" t="str">
        <f t="shared" si="2"/>
        <v/>
      </c>
      <c r="D26" s="8" t="str">
        <f t="shared" si="0"/>
        <v/>
      </c>
      <c r="E26" s="17" t="str">
        <f t="shared" si="1"/>
        <v/>
      </c>
      <c r="F26" s="4"/>
    </row>
    <row r="27" spans="1:7" x14ac:dyDescent="0.25">
      <c r="A27" s="3">
        <f>Data!B25</f>
        <v>22</v>
      </c>
      <c r="B27" s="20" t="str">
        <f>Data!C25</f>
        <v/>
      </c>
      <c r="C27" s="20" t="str">
        <f t="shared" si="2"/>
        <v/>
      </c>
      <c r="D27" s="8" t="str">
        <f t="shared" si="0"/>
        <v/>
      </c>
      <c r="E27" s="17" t="str">
        <f t="shared" si="1"/>
        <v/>
      </c>
      <c r="F27" s="4"/>
    </row>
    <row r="28" spans="1:7" x14ac:dyDescent="0.25">
      <c r="A28" s="3">
        <f>Data!B26</f>
        <v>23</v>
      </c>
      <c r="B28" s="20" t="str">
        <f>Data!C26</f>
        <v/>
      </c>
      <c r="C28" s="20" t="str">
        <f t="shared" si="2"/>
        <v/>
      </c>
      <c r="D28" s="8" t="str">
        <f t="shared" si="0"/>
        <v/>
      </c>
      <c r="E28" s="17" t="str">
        <f t="shared" si="1"/>
        <v/>
      </c>
      <c r="F28" s="4"/>
    </row>
    <row r="29" spans="1:7" x14ac:dyDescent="0.25">
      <c r="A29" s="3">
        <f>Data!B27</f>
        <v>24</v>
      </c>
      <c r="B29" s="20" t="str">
        <f>Data!C27</f>
        <v/>
      </c>
      <c r="C29" s="20" t="str">
        <f t="shared" si="2"/>
        <v/>
      </c>
      <c r="D29" s="8" t="str">
        <f t="shared" si="0"/>
        <v/>
      </c>
      <c r="E29" s="17" t="str">
        <f t="shared" si="1"/>
        <v/>
      </c>
      <c r="F29" s="4"/>
      <c r="G29" s="4"/>
    </row>
    <row r="30" spans="1:7" x14ac:dyDescent="0.25">
      <c r="A30" s="3">
        <f>Data!B28</f>
        <v>25</v>
      </c>
      <c r="B30" s="20" t="str">
        <f>Data!C28</f>
        <v/>
      </c>
      <c r="C30" s="20" t="str">
        <f t="shared" si="2"/>
        <v/>
      </c>
      <c r="D30" s="8" t="str">
        <f t="shared" si="0"/>
        <v/>
      </c>
      <c r="E30" s="17" t="str">
        <f t="shared" si="1"/>
        <v/>
      </c>
      <c r="F30" s="4"/>
      <c r="G30" s="4"/>
    </row>
    <row r="31" spans="1:7" x14ac:dyDescent="0.25">
      <c r="A31" s="3">
        <f>Data!B29</f>
        <v>26</v>
      </c>
      <c r="B31" s="20" t="str">
        <f>Data!C29</f>
        <v/>
      </c>
      <c r="C31" s="20" t="str">
        <f t="shared" si="2"/>
        <v/>
      </c>
      <c r="D31" s="8" t="str">
        <f t="shared" si="0"/>
        <v/>
      </c>
      <c r="E31" s="17" t="str">
        <f t="shared" si="1"/>
        <v/>
      </c>
      <c r="F31" s="4"/>
      <c r="G31" s="4"/>
    </row>
    <row r="32" spans="1:7" x14ac:dyDescent="0.25">
      <c r="A32" s="3">
        <f>Data!B30</f>
        <v>27</v>
      </c>
      <c r="B32" s="20" t="str">
        <f>Data!C30</f>
        <v/>
      </c>
      <c r="C32" s="20" t="str">
        <f t="shared" si="2"/>
        <v/>
      </c>
      <c r="D32" s="8" t="str">
        <f t="shared" si="0"/>
        <v/>
      </c>
      <c r="E32" s="17" t="str">
        <f t="shared" si="1"/>
        <v/>
      </c>
      <c r="F32" s="4"/>
      <c r="G32" s="4"/>
    </row>
    <row r="33" spans="1:7" x14ac:dyDescent="0.25">
      <c r="A33" s="3">
        <f>Data!B31</f>
        <v>28</v>
      </c>
      <c r="B33" s="20" t="str">
        <f>Data!C31</f>
        <v/>
      </c>
      <c r="C33" s="20" t="str">
        <f t="shared" si="2"/>
        <v/>
      </c>
      <c r="D33" s="8" t="str">
        <f t="shared" si="0"/>
        <v/>
      </c>
      <c r="E33" s="17" t="str">
        <f t="shared" si="1"/>
        <v/>
      </c>
      <c r="F33" s="4"/>
      <c r="G33" s="4"/>
    </row>
    <row r="34" spans="1:7" x14ac:dyDescent="0.25">
      <c r="A34" s="3">
        <f>Data!B32</f>
        <v>29</v>
      </c>
      <c r="B34" s="20" t="str">
        <f>Data!C32</f>
        <v/>
      </c>
      <c r="C34" s="20" t="str">
        <f t="shared" si="2"/>
        <v/>
      </c>
      <c r="D34" s="8" t="str">
        <f t="shared" si="0"/>
        <v/>
      </c>
      <c r="E34" s="17" t="str">
        <f t="shared" si="1"/>
        <v/>
      </c>
      <c r="F34" s="4"/>
    </row>
    <row r="35" spans="1:7" x14ac:dyDescent="0.25">
      <c r="A35" s="3">
        <f>Data!B33</f>
        <v>30</v>
      </c>
      <c r="B35" s="20" t="str">
        <f>Data!C33</f>
        <v/>
      </c>
      <c r="C35" s="20" t="str">
        <f t="shared" si="2"/>
        <v/>
      </c>
      <c r="D35" s="8" t="str">
        <f t="shared" si="0"/>
        <v/>
      </c>
      <c r="E35" s="17" t="str">
        <f t="shared" si="1"/>
        <v/>
      </c>
      <c r="F35" s="4"/>
    </row>
    <row r="36" spans="1:7" x14ac:dyDescent="0.25">
      <c r="A36" s="3">
        <f>Data!B34</f>
        <v>31</v>
      </c>
      <c r="B36" s="20" t="str">
        <f>Data!C34</f>
        <v/>
      </c>
      <c r="C36" s="20" t="str">
        <f t="shared" si="2"/>
        <v/>
      </c>
      <c r="D36" s="8" t="str">
        <f t="shared" si="0"/>
        <v/>
      </c>
      <c r="E36" s="17" t="str">
        <f t="shared" si="1"/>
        <v/>
      </c>
      <c r="F36" s="4"/>
    </row>
    <row r="37" spans="1:7" x14ac:dyDescent="0.25">
      <c r="A37" s="3">
        <f>Data!B35</f>
        <v>32</v>
      </c>
      <c r="B37" s="20" t="str">
        <f>Data!C35</f>
        <v/>
      </c>
      <c r="C37" s="20" t="str">
        <f t="shared" si="2"/>
        <v/>
      </c>
      <c r="D37" s="8" t="str">
        <f t="shared" si="0"/>
        <v/>
      </c>
      <c r="E37" s="17" t="str">
        <f t="shared" si="1"/>
        <v/>
      </c>
      <c r="F37" s="4"/>
    </row>
    <row r="38" spans="1:7" x14ac:dyDescent="0.25">
      <c r="A38" s="3">
        <f>Data!B36</f>
        <v>33</v>
      </c>
      <c r="B38" s="20" t="str">
        <f>Data!C36</f>
        <v/>
      </c>
      <c r="C38" s="20" t="str">
        <f t="shared" si="2"/>
        <v/>
      </c>
      <c r="D38" s="8" t="str">
        <f t="shared" si="0"/>
        <v/>
      </c>
      <c r="E38" s="17" t="str">
        <f t="shared" si="1"/>
        <v/>
      </c>
      <c r="F38" s="4"/>
    </row>
    <row r="39" spans="1:7" x14ac:dyDescent="0.25">
      <c r="A39" s="3">
        <f>Data!B37</f>
        <v>34</v>
      </c>
      <c r="B39" s="20" t="str">
        <f>Data!C37</f>
        <v/>
      </c>
      <c r="C39" s="20" t="str">
        <f t="shared" si="2"/>
        <v/>
      </c>
      <c r="D39" s="8" t="str">
        <f t="shared" si="0"/>
        <v/>
      </c>
      <c r="E39" s="17" t="str">
        <f t="shared" si="1"/>
        <v/>
      </c>
      <c r="F39" s="4"/>
    </row>
    <row r="40" spans="1:7" x14ac:dyDescent="0.25">
      <c r="A40" s="3">
        <f>Data!B38</f>
        <v>35</v>
      </c>
      <c r="B40" s="20" t="str">
        <f>Data!C38</f>
        <v/>
      </c>
      <c r="C40" s="20" t="str">
        <f t="shared" si="2"/>
        <v/>
      </c>
      <c r="D40" s="8" t="str">
        <f t="shared" si="0"/>
        <v/>
      </c>
      <c r="E40" s="17" t="str">
        <f t="shared" si="1"/>
        <v/>
      </c>
      <c r="F40" s="4"/>
    </row>
    <row r="41" spans="1:7" x14ac:dyDescent="0.25">
      <c r="A41" s="3">
        <f>Data!B39</f>
        <v>36</v>
      </c>
      <c r="B41" s="20" t="str">
        <f>Data!C39</f>
        <v/>
      </c>
      <c r="C41" s="20" t="str">
        <f t="shared" si="2"/>
        <v/>
      </c>
      <c r="D41" s="8" t="str">
        <f t="shared" si="0"/>
        <v/>
      </c>
      <c r="E41" s="17" t="str">
        <f t="shared" si="1"/>
        <v/>
      </c>
      <c r="F41" s="4"/>
    </row>
    <row r="42" spans="1:7" x14ac:dyDescent="0.25">
      <c r="A42" s="3">
        <f>Data!B40</f>
        <v>37</v>
      </c>
      <c r="B42" s="20" t="str">
        <f>Data!C40</f>
        <v/>
      </c>
      <c r="C42" s="20" t="str">
        <f t="shared" si="2"/>
        <v/>
      </c>
      <c r="D42" s="8" t="str">
        <f t="shared" si="0"/>
        <v/>
      </c>
      <c r="E42" s="17" t="str">
        <f t="shared" si="1"/>
        <v/>
      </c>
      <c r="F42" s="4"/>
    </row>
    <row r="43" spans="1:7" x14ac:dyDescent="0.25">
      <c r="A43" s="3">
        <f>Data!B41</f>
        <v>38</v>
      </c>
      <c r="B43" s="20" t="str">
        <f>Data!C41</f>
        <v/>
      </c>
      <c r="C43" s="20" t="str">
        <f t="shared" si="2"/>
        <v/>
      </c>
      <c r="D43" s="8" t="str">
        <f t="shared" si="0"/>
        <v/>
      </c>
      <c r="E43" s="17" t="str">
        <f t="shared" si="1"/>
        <v/>
      </c>
      <c r="F43" s="4"/>
    </row>
    <row r="44" spans="1:7" x14ac:dyDescent="0.25">
      <c r="A44" s="3">
        <f>Data!B42</f>
        <v>39</v>
      </c>
      <c r="B44" s="20" t="str">
        <f>Data!C42</f>
        <v/>
      </c>
      <c r="C44" s="20" t="str">
        <f t="shared" si="2"/>
        <v/>
      </c>
      <c r="D44" s="8" t="str">
        <f t="shared" si="0"/>
        <v/>
      </c>
      <c r="E44" s="17" t="str">
        <f t="shared" si="1"/>
        <v/>
      </c>
      <c r="F44" s="4"/>
    </row>
    <row r="45" spans="1:7" x14ac:dyDescent="0.25">
      <c r="A45" s="3">
        <f>Data!B43</f>
        <v>40</v>
      </c>
      <c r="B45" s="20" t="str">
        <f>Data!C43</f>
        <v/>
      </c>
      <c r="C45" s="20" t="str">
        <f t="shared" si="2"/>
        <v/>
      </c>
      <c r="D45" s="8" t="str">
        <f t="shared" si="0"/>
        <v/>
      </c>
      <c r="E45" s="17" t="str">
        <f t="shared" si="1"/>
        <v/>
      </c>
      <c r="F45" s="4"/>
    </row>
    <row r="46" spans="1:7" x14ac:dyDescent="0.25">
      <c r="A46" s="3">
        <f>Data!B44</f>
        <v>41</v>
      </c>
      <c r="B46" s="20" t="str">
        <f>Data!C44</f>
        <v/>
      </c>
      <c r="C46" s="20" t="str">
        <f t="shared" si="2"/>
        <v/>
      </c>
      <c r="D46" s="8" t="str">
        <f t="shared" si="0"/>
        <v/>
      </c>
      <c r="E46" s="17" t="str">
        <f t="shared" si="1"/>
        <v/>
      </c>
      <c r="F46" s="4"/>
    </row>
    <row r="47" spans="1:7" x14ac:dyDescent="0.25">
      <c r="A47" s="3">
        <f>Data!B45</f>
        <v>42</v>
      </c>
      <c r="B47" s="20" t="str">
        <f>Data!C45</f>
        <v/>
      </c>
      <c r="C47" s="20" t="str">
        <f t="shared" si="2"/>
        <v/>
      </c>
      <c r="D47" s="8" t="str">
        <f t="shared" si="0"/>
        <v/>
      </c>
      <c r="E47" s="17" t="str">
        <f t="shared" si="1"/>
        <v/>
      </c>
      <c r="F47" s="4"/>
    </row>
    <row r="48" spans="1:7" x14ac:dyDescent="0.25">
      <c r="A48" s="3">
        <f>Data!B46</f>
        <v>43</v>
      </c>
      <c r="B48" s="20" t="str">
        <f>Data!C46</f>
        <v/>
      </c>
      <c r="C48" s="20" t="str">
        <f t="shared" si="2"/>
        <v/>
      </c>
      <c r="D48" s="8" t="str">
        <f t="shared" si="0"/>
        <v/>
      </c>
      <c r="E48" s="17" t="str">
        <f t="shared" si="1"/>
        <v/>
      </c>
      <c r="F48" s="4"/>
    </row>
    <row r="49" spans="1:12" x14ac:dyDescent="0.25">
      <c r="A49" s="3">
        <f>Data!B47</f>
        <v>44</v>
      </c>
      <c r="B49" s="20" t="str">
        <f>Data!C47</f>
        <v/>
      </c>
      <c r="C49" s="20" t="str">
        <f t="shared" si="2"/>
        <v/>
      </c>
      <c r="D49" s="8" t="str">
        <f t="shared" si="0"/>
        <v/>
      </c>
      <c r="E49" s="17" t="str">
        <f t="shared" si="1"/>
        <v/>
      </c>
      <c r="F49" s="4"/>
    </row>
    <row r="50" spans="1:12" x14ac:dyDescent="0.25">
      <c r="A50" s="3">
        <f>Data!B48</f>
        <v>45</v>
      </c>
      <c r="B50" s="20" t="str">
        <f>Data!C48</f>
        <v/>
      </c>
      <c r="C50" s="20" t="str">
        <f t="shared" si="2"/>
        <v/>
      </c>
      <c r="D50" s="8" t="str">
        <f t="shared" si="0"/>
        <v/>
      </c>
      <c r="E50" s="17" t="str">
        <f t="shared" si="1"/>
        <v/>
      </c>
      <c r="F50" s="4"/>
    </row>
    <row r="51" spans="1:12" x14ac:dyDescent="0.25">
      <c r="A51" s="3">
        <f>Data!B49</f>
        <v>46</v>
      </c>
      <c r="B51" s="20" t="str">
        <f>Data!C49</f>
        <v/>
      </c>
      <c r="C51" s="20" t="str">
        <f t="shared" si="2"/>
        <v/>
      </c>
      <c r="D51" s="8" t="str">
        <f t="shared" si="0"/>
        <v/>
      </c>
      <c r="E51" s="17" t="str">
        <f t="shared" si="1"/>
        <v/>
      </c>
      <c r="F51" s="4"/>
    </row>
    <row r="52" spans="1:12" x14ac:dyDescent="0.25">
      <c r="A52" s="3">
        <f>Data!B50</f>
        <v>47</v>
      </c>
      <c r="B52" s="20" t="str">
        <f>Data!C50</f>
        <v/>
      </c>
      <c r="C52" s="20" t="str">
        <f t="shared" si="2"/>
        <v/>
      </c>
      <c r="D52" s="8" t="str">
        <f t="shared" si="0"/>
        <v/>
      </c>
      <c r="E52" s="17" t="str">
        <f t="shared" si="1"/>
        <v/>
      </c>
      <c r="F52" s="4"/>
    </row>
    <row r="53" spans="1:12" x14ac:dyDescent="0.25">
      <c r="A53" s="3">
        <f>Data!B51</f>
        <v>48</v>
      </c>
      <c r="B53" s="20" t="str">
        <f>Data!C51</f>
        <v/>
      </c>
      <c r="C53" s="20" t="str">
        <f t="shared" si="2"/>
        <v/>
      </c>
      <c r="D53" s="8" t="str">
        <f t="shared" si="0"/>
        <v/>
      </c>
      <c r="E53" s="17" t="str">
        <f t="shared" si="1"/>
        <v/>
      </c>
      <c r="F53" s="4"/>
    </row>
    <row r="54" spans="1:12" x14ac:dyDescent="0.25">
      <c r="A54" s="3">
        <f>Data!B52</f>
        <v>49</v>
      </c>
      <c r="B54" s="20" t="str">
        <f>Data!C52</f>
        <v/>
      </c>
      <c r="C54" s="20" t="str">
        <f t="shared" si="2"/>
        <v/>
      </c>
      <c r="D54" s="8" t="str">
        <f t="shared" si="0"/>
        <v/>
      </c>
      <c r="E54" s="17" t="str">
        <f t="shared" si="1"/>
        <v/>
      </c>
      <c r="F54" s="4"/>
    </row>
    <row r="55" spans="1:12" x14ac:dyDescent="0.25">
      <c r="A55" s="3">
        <f>Data!B53</f>
        <v>50</v>
      </c>
      <c r="B55" s="20" t="str">
        <f>Data!C53</f>
        <v/>
      </c>
      <c r="C55" s="20" t="str">
        <f t="shared" si="2"/>
        <v/>
      </c>
      <c r="D55" s="8" t="str">
        <f t="shared" si="0"/>
        <v/>
      </c>
      <c r="E55" s="17" t="str">
        <f t="shared" si="1"/>
        <v/>
      </c>
      <c r="F55" s="4"/>
    </row>
    <row r="56" spans="1:12" x14ac:dyDescent="0.25">
      <c r="A56" s="3">
        <f>Data!B54</f>
        <v>51</v>
      </c>
      <c r="B56" s="20" t="str">
        <f>Data!C54</f>
        <v/>
      </c>
      <c r="C56" s="20" t="str">
        <f t="shared" si="2"/>
        <v/>
      </c>
      <c r="D56" s="8" t="str">
        <f t="shared" si="0"/>
        <v/>
      </c>
      <c r="E56" s="17" t="str">
        <f t="shared" si="1"/>
        <v/>
      </c>
      <c r="F56" s="4"/>
    </row>
    <row r="57" spans="1:12" x14ac:dyDescent="0.25">
      <c r="A57" s="3">
        <f>Data!B55</f>
        <v>52</v>
      </c>
      <c r="B57" s="20" t="str">
        <f>Data!C55</f>
        <v/>
      </c>
      <c r="C57" s="20" t="str">
        <f t="shared" si="2"/>
        <v/>
      </c>
      <c r="D57" s="8" t="str">
        <f t="shared" si="0"/>
        <v/>
      </c>
      <c r="E57" s="17" t="str">
        <f t="shared" si="1"/>
        <v/>
      </c>
      <c r="F57" s="4"/>
    </row>
    <row r="58" spans="1:12" x14ac:dyDescent="0.25">
      <c r="A58" s="3">
        <f>Data!B56</f>
        <v>53</v>
      </c>
      <c r="B58" s="20" t="str">
        <f>Data!C56</f>
        <v/>
      </c>
      <c r="C58" s="20" t="str">
        <f t="shared" si="2"/>
        <v/>
      </c>
      <c r="D58" s="8" t="str">
        <f t="shared" si="0"/>
        <v/>
      </c>
      <c r="E58" s="17" t="str">
        <f t="shared" si="1"/>
        <v/>
      </c>
      <c r="F58" s="4"/>
    </row>
    <row r="59" spans="1:12" x14ac:dyDescent="0.25">
      <c r="A59" s="3">
        <f>Data!B57</f>
        <v>54</v>
      </c>
      <c r="B59" s="20" t="str">
        <f>Data!C57</f>
        <v/>
      </c>
      <c r="C59" s="20" t="str">
        <f t="shared" si="2"/>
        <v/>
      </c>
      <c r="D59" s="8" t="str">
        <f t="shared" si="0"/>
        <v/>
      </c>
      <c r="E59" s="17" t="str">
        <f t="shared" si="1"/>
        <v/>
      </c>
      <c r="F59" s="4"/>
      <c r="J59" s="13"/>
      <c r="K59" s="13"/>
      <c r="L59" s="13"/>
    </row>
    <row r="60" spans="1:12" x14ac:dyDescent="0.25">
      <c r="B60" s="20" t="str">
        <f>Data!C58</f>
        <v/>
      </c>
      <c r="C60" s="20" t="str">
        <f t="shared" si="2"/>
        <v/>
      </c>
      <c r="D60" s="8" t="str">
        <f t="shared" si="0"/>
        <v/>
      </c>
      <c r="E60" s="8"/>
      <c r="J60" s="13"/>
      <c r="K60" s="13"/>
      <c r="L60" s="13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1"/>
  <sheetViews>
    <sheetView workbookViewId="0">
      <selection activeCell="H5" sqref="H1:H1048576"/>
    </sheetView>
  </sheetViews>
  <sheetFormatPr defaultRowHeight="15" x14ac:dyDescent="0.25"/>
  <cols>
    <col min="1" max="1" width="8.85546875" style="3"/>
    <col min="2" max="2" width="14.7109375" customWidth="1"/>
    <col min="3" max="3" width="13.28515625" style="20" bestFit="1" customWidth="1"/>
    <col min="4" max="4" width="16.28515625" style="13" customWidth="1"/>
    <col min="5" max="5" width="11.5703125" style="13" bestFit="1" customWidth="1"/>
    <col min="6" max="6" width="14.5703125" bestFit="1" customWidth="1"/>
    <col min="7" max="7" width="13.140625" bestFit="1" customWidth="1"/>
    <col min="10" max="10" width="12.5703125" bestFit="1" customWidth="1"/>
    <col min="11" max="11" width="10.7109375" bestFit="1" customWidth="1"/>
    <col min="12" max="12" width="12.5703125" bestFit="1" customWidth="1"/>
  </cols>
  <sheetData>
    <row r="1" spans="1:14" ht="30" x14ac:dyDescent="0.25">
      <c r="A1" s="38" t="s">
        <v>111</v>
      </c>
      <c r="B1" s="39" t="s">
        <v>117</v>
      </c>
      <c r="H1" s="54" t="s">
        <v>127</v>
      </c>
      <c r="I1" s="53"/>
    </row>
    <row r="2" spans="1:14" ht="21" x14ac:dyDescent="0.35">
      <c r="A2" s="40">
        <f>Data!C2</f>
        <v>8</v>
      </c>
      <c r="B2" s="47" t="str">
        <f>Select_Data!B2</f>
        <v>Cost-yt8</v>
      </c>
      <c r="H2" s="52" t="s">
        <v>128</v>
      </c>
      <c r="I2" s="53"/>
      <c r="L2" s="26"/>
    </row>
    <row r="3" spans="1:14" ht="30" x14ac:dyDescent="0.25">
      <c r="A3" s="9" t="s">
        <v>1</v>
      </c>
      <c r="B3" s="9" t="s">
        <v>2</v>
      </c>
      <c r="D3" s="9" t="s">
        <v>87</v>
      </c>
      <c r="E3" s="9" t="s">
        <v>115</v>
      </c>
      <c r="F3" s="9" t="s">
        <v>5</v>
      </c>
      <c r="G3" s="19" t="s">
        <v>116</v>
      </c>
      <c r="H3" s="54" t="s">
        <v>126</v>
      </c>
      <c r="I3" s="54"/>
      <c r="J3" s="54"/>
      <c r="K3" s="54"/>
      <c r="L3" s="36" t="s">
        <v>108</v>
      </c>
      <c r="M3" s="36" t="s">
        <v>118</v>
      </c>
      <c r="N3" s="36" t="s">
        <v>119</v>
      </c>
    </row>
    <row r="4" spans="1:14" x14ac:dyDescent="0.25">
      <c r="A4" s="10">
        <v>0.5</v>
      </c>
      <c r="B4" s="10">
        <v>7.1999999999999995E-2</v>
      </c>
      <c r="D4" s="20">
        <f>CORREL(B6:B58,E7:E59)</f>
        <v>0.90792146233922522</v>
      </c>
      <c r="E4" s="20">
        <f>SQRT(SUMXMY2(B6:B58,E7:E59)/COUNT(B7:B59))</f>
        <v>40429.684503253164</v>
      </c>
      <c r="F4" s="4">
        <f>SUM(F7:F59)/COUNT(F7:F59)</f>
        <v>36021.844932852386</v>
      </c>
      <c r="G4" s="55">
        <f>SUM(G7:G59)/COUNT(B7:B60)</f>
        <v>0.12758336736913028</v>
      </c>
      <c r="H4" s="54" t="s">
        <v>124</v>
      </c>
      <c r="I4" s="54"/>
      <c r="J4" s="54"/>
      <c r="K4" s="54"/>
      <c r="L4" t="str">
        <f>CONCATENATE("B6:B",COUNT($B$6:$B$60)+5)</f>
        <v>B6:B22</v>
      </c>
      <c r="M4" t="str">
        <f>CONCATENATE("C7:C",COUNT($C$7:$C$60)+6)</f>
        <v>C7:C23</v>
      </c>
      <c r="N4" t="e">
        <f>CONCATENATE("H7:C",COUNTBLANK(#REF!)+7)</f>
        <v>#REF!</v>
      </c>
    </row>
    <row r="5" spans="1:14" ht="30" x14ac:dyDescent="0.25">
      <c r="A5" s="6" t="str">
        <f>Data!B3</f>
        <v xml:space="preserve"> t</v>
      </c>
      <c r="B5" s="6" t="str">
        <f>Data!D3</f>
        <v>Cost-yt1</v>
      </c>
      <c r="C5" s="50" t="s">
        <v>125</v>
      </c>
      <c r="D5" s="14" t="s">
        <v>3</v>
      </c>
      <c r="E5" s="14" t="s">
        <v>100</v>
      </c>
      <c r="F5" s="14" t="s">
        <v>4</v>
      </c>
      <c r="G5" s="16" t="s">
        <v>6</v>
      </c>
      <c r="H5" s="54" t="s">
        <v>123</v>
      </c>
      <c r="I5" s="54"/>
      <c r="J5" s="54"/>
      <c r="K5" s="54"/>
    </row>
    <row r="6" spans="1:14" x14ac:dyDescent="0.25">
      <c r="A6" s="3">
        <f>Data!B4</f>
        <v>1</v>
      </c>
      <c r="B6" s="41">
        <f>Data!C4</f>
        <v>213078</v>
      </c>
      <c r="D6" s="42"/>
      <c r="E6" s="12"/>
      <c r="F6" s="45"/>
    </row>
    <row r="7" spans="1:14" x14ac:dyDescent="0.25">
      <c r="A7" s="3">
        <f>Data!B5</f>
        <v>2</v>
      </c>
      <c r="B7" s="41">
        <f>Data!C5</f>
        <v>240858</v>
      </c>
      <c r="C7" s="20">
        <f>B6</f>
        <v>213078</v>
      </c>
      <c r="D7" s="12">
        <f>B7-B6</f>
        <v>27780</v>
      </c>
      <c r="E7" s="12">
        <f>IF(B7="","",C7+D7)</f>
        <v>240858</v>
      </c>
      <c r="F7" s="45">
        <f>ABS(B6-E7)</f>
        <v>27780</v>
      </c>
      <c r="G7" s="17">
        <f>F7/B6</f>
        <v>0.13037479232956944</v>
      </c>
    </row>
    <row r="8" spans="1:14" x14ac:dyDescent="0.25">
      <c r="A8" s="3">
        <f>Data!B6</f>
        <v>3</v>
      </c>
      <c r="B8" s="41">
        <f>Data!C6</f>
        <v>282563.70000000007</v>
      </c>
      <c r="C8" s="20">
        <f>IF(B7="","",B7*$A$4+(1-$A$4)*(C7+D7))</f>
        <v>240858</v>
      </c>
      <c r="D8" s="12">
        <f>$B$4*(C8-C7)+(1-$B$4)*D7</f>
        <v>27780</v>
      </c>
      <c r="E8" s="12">
        <f t="shared" ref="E8:E60" si="0">IF(B8="","",C8+D8)</f>
        <v>268638</v>
      </c>
      <c r="F8" s="45">
        <f>IF(B8="","",ABS(B7-E8))</f>
        <v>27780</v>
      </c>
      <c r="G8" s="17">
        <f>IF(B8="","",F8/B7)</f>
        <v>0.11533766783748101</v>
      </c>
    </row>
    <row r="9" spans="1:14" x14ac:dyDescent="0.25">
      <c r="A9" s="3">
        <f>Data!B7</f>
        <v>4</v>
      </c>
      <c r="B9" s="41">
        <f>Data!C7</f>
        <v>227827.1</v>
      </c>
      <c r="C9" s="20">
        <f t="shared" ref="C9:C60" si="1">IF(B8="","",B8*$A$4+(1-$A$4)*(C8+D8))</f>
        <v>275600.85000000003</v>
      </c>
      <c r="D9" s="12">
        <f t="shared" ref="D9:D17" si="2">$B$4*(C9-C8)+(1-$B$4)*D8</f>
        <v>28281.325200000003</v>
      </c>
      <c r="E9" s="12">
        <f t="shared" si="0"/>
        <v>303882.17520000006</v>
      </c>
      <c r="F9" s="45">
        <f t="shared" ref="F9:F59" si="3">IF(B9="","",ABS(B8-E9))</f>
        <v>21318.475199999986</v>
      </c>
      <c r="G9" s="17">
        <f t="shared" ref="G9:G59" si="4">IF(B9="","",F9/B8)</f>
        <v>7.5446616815960363E-2</v>
      </c>
    </row>
    <row r="10" spans="1:14" x14ac:dyDescent="0.25">
      <c r="A10" s="3">
        <f>Data!B8</f>
        <v>5</v>
      </c>
      <c r="B10" s="41">
        <f>Data!C8</f>
        <v>294816</v>
      </c>
      <c r="C10" s="20">
        <f t="shared" si="1"/>
        <v>265854.63760000002</v>
      </c>
      <c r="D10" s="12">
        <f t="shared" si="2"/>
        <v>25543.342492800002</v>
      </c>
      <c r="E10" s="12">
        <f t="shared" si="0"/>
        <v>291397.98009279999</v>
      </c>
      <c r="F10" s="45">
        <f t="shared" si="3"/>
        <v>63570.880092799984</v>
      </c>
      <c r="G10" s="17">
        <f t="shared" si="4"/>
        <v>0.27903124822639619</v>
      </c>
    </row>
    <row r="11" spans="1:14" x14ac:dyDescent="0.25">
      <c r="A11" s="3">
        <f>Data!B9</f>
        <v>6</v>
      </c>
      <c r="B11" s="41">
        <f>Data!C9</f>
        <v>359881</v>
      </c>
      <c r="C11" s="20">
        <f t="shared" si="1"/>
        <v>293106.99004639999</v>
      </c>
      <c r="D11" s="12">
        <f t="shared" si="2"/>
        <v>25666.391209459201</v>
      </c>
      <c r="E11" s="12">
        <f t="shared" si="0"/>
        <v>318773.38125585922</v>
      </c>
      <c r="F11" s="45">
        <f t="shared" si="3"/>
        <v>23957.381255859218</v>
      </c>
      <c r="G11" s="17">
        <f t="shared" si="4"/>
        <v>8.1262147427070511E-2</v>
      </c>
    </row>
    <row r="12" spans="1:14" x14ac:dyDescent="0.25">
      <c r="A12" s="3">
        <f>Data!B10</f>
        <v>7</v>
      </c>
      <c r="B12" s="41">
        <f>Data!C10</f>
        <v>283609.2</v>
      </c>
      <c r="C12" s="20">
        <f t="shared" si="1"/>
        <v>339327.19062792964</v>
      </c>
      <c r="D12" s="12">
        <f t="shared" si="2"/>
        <v>27146.265484248273</v>
      </c>
      <c r="E12" s="12">
        <f t="shared" si="0"/>
        <v>366473.45611217793</v>
      </c>
      <c r="F12" s="45">
        <f t="shared" si="3"/>
        <v>6592.4561121779261</v>
      </c>
      <c r="G12" s="17">
        <f t="shared" si="4"/>
        <v>1.8318433349295813E-2</v>
      </c>
    </row>
    <row r="13" spans="1:14" x14ac:dyDescent="0.25">
      <c r="A13" s="3">
        <f>Data!B11</f>
        <v>8</v>
      </c>
      <c r="B13" s="41">
        <f>Data!C11</f>
        <v>303780.11</v>
      </c>
      <c r="C13" s="20">
        <f t="shared" si="1"/>
        <v>325041.328056089</v>
      </c>
      <c r="D13" s="12">
        <f t="shared" si="2"/>
        <v>24163.152264209875</v>
      </c>
      <c r="E13" s="12">
        <f t="shared" si="0"/>
        <v>349204.48032029887</v>
      </c>
      <c r="F13" s="45">
        <f t="shared" si="3"/>
        <v>65595.280320298858</v>
      </c>
      <c r="G13" s="17">
        <f t="shared" si="4"/>
        <v>0.23128756161753164</v>
      </c>
    </row>
    <row r="14" spans="1:14" x14ac:dyDescent="0.25">
      <c r="A14" s="3">
        <f>Data!B12</f>
        <v>9</v>
      </c>
      <c r="B14" s="41">
        <f>Data!C12</f>
        <v>360843.95</v>
      </c>
      <c r="C14" s="20">
        <f t="shared" si="1"/>
        <v>326492.29516014946</v>
      </c>
      <c r="D14" s="12">
        <f t="shared" si="2"/>
        <v>22527.874932679119</v>
      </c>
      <c r="E14" s="12">
        <f t="shared" si="0"/>
        <v>349020.17009282857</v>
      </c>
      <c r="F14" s="45">
        <f t="shared" si="3"/>
        <v>45240.060092828586</v>
      </c>
      <c r="G14" s="17">
        <f t="shared" si="4"/>
        <v>0.14892370699592078</v>
      </c>
    </row>
    <row r="15" spans="1:14" x14ac:dyDescent="0.25">
      <c r="A15" s="3">
        <f>Data!B13</f>
        <v>10</v>
      </c>
      <c r="B15" s="41">
        <f>Data!C13</f>
        <v>303033.69999999995</v>
      </c>
      <c r="C15" s="20">
        <f t="shared" si="1"/>
        <v>354932.06004641426</v>
      </c>
      <c r="D15" s="12">
        <f t="shared" si="2"/>
        <v>22953.531009337286</v>
      </c>
      <c r="E15" s="12">
        <f t="shared" si="0"/>
        <v>377885.59105575155</v>
      </c>
      <c r="F15" s="45">
        <f t="shared" si="3"/>
        <v>17041.641055751534</v>
      </c>
      <c r="G15" s="17">
        <f t="shared" si="4"/>
        <v>4.72271768883794E-2</v>
      </c>
    </row>
    <row r="16" spans="1:14" x14ac:dyDescent="0.25">
      <c r="A16" s="3">
        <f>Data!B14</f>
        <v>11</v>
      </c>
      <c r="B16" s="41">
        <f>Data!C14</f>
        <v>314587.2</v>
      </c>
      <c r="C16" s="20">
        <f t="shared" si="1"/>
        <v>340459.64552787575</v>
      </c>
      <c r="D16" s="12">
        <f t="shared" si="2"/>
        <v>20258.86293133023</v>
      </c>
      <c r="E16" s="12">
        <f t="shared" si="0"/>
        <v>360718.50845920597</v>
      </c>
      <c r="F16" s="45">
        <f t="shared" si="3"/>
        <v>57684.808459206019</v>
      </c>
      <c r="G16" s="17">
        <f t="shared" si="4"/>
        <v>0.19035773400518169</v>
      </c>
    </row>
    <row r="17" spans="1:7" x14ac:dyDescent="0.25">
      <c r="A17" s="3">
        <f>Data!B15</f>
        <v>12</v>
      </c>
      <c r="B17" s="41">
        <f>Data!C15</f>
        <v>372885.8</v>
      </c>
      <c r="C17" s="20">
        <f t="shared" si="1"/>
        <v>337652.85422960296</v>
      </c>
      <c r="D17" s="12">
        <f t="shared" si="2"/>
        <v>18598.135826798811</v>
      </c>
      <c r="E17" s="12">
        <f t="shared" si="0"/>
        <v>356250.99005640176</v>
      </c>
      <c r="F17" s="45">
        <f t="shared" si="3"/>
        <v>41663.790056401747</v>
      </c>
      <c r="G17" s="17">
        <f t="shared" si="4"/>
        <v>0.13243955906788879</v>
      </c>
    </row>
    <row r="18" spans="1:7" x14ac:dyDescent="0.25">
      <c r="A18" s="3">
        <f>Data!B16</f>
        <v>13</v>
      </c>
      <c r="B18" s="41">
        <f>Data!C16</f>
        <v>306537.53999999998</v>
      </c>
      <c r="C18" s="20">
        <f t="shared" si="1"/>
        <v>364568.39502820087</v>
      </c>
      <c r="D18" s="12">
        <f t="shared" ref="D18:D60" si="5">IF(C18="","",$B$4*(C18-C17)+(1-$B$4)*D17)</f>
        <v>19196.988984768348</v>
      </c>
      <c r="E18" s="12">
        <f t="shared" si="0"/>
        <v>383765.38401296921</v>
      </c>
      <c r="F18" s="45">
        <f t="shared" si="3"/>
        <v>10879.584012969222</v>
      </c>
      <c r="G18" s="17">
        <f t="shared" si="4"/>
        <v>2.9176718483163538E-2</v>
      </c>
    </row>
    <row r="19" spans="1:7" x14ac:dyDescent="0.25">
      <c r="A19" s="3">
        <f>Data!B17</f>
        <v>14</v>
      </c>
      <c r="B19" s="41">
        <f>Data!C17</f>
        <v>289441.90000000002</v>
      </c>
      <c r="C19" s="20">
        <f t="shared" si="1"/>
        <v>345151.46200648462</v>
      </c>
      <c r="D19" s="12">
        <f t="shared" si="5"/>
        <v>16416.786600301461</v>
      </c>
      <c r="E19" s="12">
        <f t="shared" si="0"/>
        <v>361568.24860678607</v>
      </c>
      <c r="F19" s="45">
        <f t="shared" si="3"/>
        <v>55030.708606786095</v>
      </c>
      <c r="G19" s="17">
        <f t="shared" si="4"/>
        <v>0.17952355397249584</v>
      </c>
    </row>
    <row r="20" spans="1:7" x14ac:dyDescent="0.25">
      <c r="A20" s="3">
        <f>Data!B18</f>
        <v>15</v>
      </c>
      <c r="B20" s="41">
        <f>Data!C18</f>
        <v>324311.09999999998</v>
      </c>
      <c r="C20" s="20">
        <f t="shared" si="1"/>
        <v>325505.07430339302</v>
      </c>
      <c r="D20" s="12">
        <f t="shared" si="5"/>
        <v>13820.238050457161</v>
      </c>
      <c r="E20" s="12">
        <f t="shared" si="0"/>
        <v>339325.31235385017</v>
      </c>
      <c r="F20" s="45">
        <f t="shared" si="3"/>
        <v>49883.412353850144</v>
      </c>
      <c r="G20" s="17">
        <f t="shared" si="4"/>
        <v>0.17234343871378036</v>
      </c>
    </row>
    <row r="21" spans="1:7" x14ac:dyDescent="0.25">
      <c r="A21" s="3">
        <f>Data!B19</f>
        <v>16</v>
      </c>
      <c r="B21" s="41">
        <f>Data!C19</f>
        <v>284183.09999999998</v>
      </c>
      <c r="C21" s="20">
        <f t="shared" si="1"/>
        <v>331818.2061769251</v>
      </c>
      <c r="D21" s="12">
        <f t="shared" si="5"/>
        <v>13279.726405718557</v>
      </c>
      <c r="E21" s="12">
        <f t="shared" si="0"/>
        <v>345097.93258264364</v>
      </c>
      <c r="F21" s="45">
        <f t="shared" si="3"/>
        <v>20786.832582643663</v>
      </c>
      <c r="G21" s="17">
        <f t="shared" si="4"/>
        <v>6.4095347284270146E-2</v>
      </c>
    </row>
    <row r="22" spans="1:7" x14ac:dyDescent="0.25">
      <c r="A22" s="3">
        <f>Data!B20</f>
        <v>17</v>
      </c>
      <c r="B22" s="41">
        <f>Data!C20</f>
        <v>274069.5</v>
      </c>
      <c r="C22" s="20">
        <f t="shared" si="1"/>
        <v>314640.51629132184</v>
      </c>
      <c r="D22" s="12">
        <f t="shared" si="5"/>
        <v>11086.792432743387</v>
      </c>
      <c r="E22" s="12">
        <f t="shared" si="0"/>
        <v>325727.30872406519</v>
      </c>
      <c r="F22" s="45">
        <f t="shared" si="3"/>
        <v>41544.208724065218</v>
      </c>
      <c r="G22" s="17">
        <f t="shared" si="4"/>
        <v>0.14618817489169914</v>
      </c>
    </row>
    <row r="23" spans="1:7" x14ac:dyDescent="0.25">
      <c r="A23" s="3">
        <f>Data!B21</f>
        <v>18</v>
      </c>
      <c r="B23" s="41" t="str">
        <f>Data!C21</f>
        <v/>
      </c>
      <c r="C23" s="20">
        <f t="shared" si="1"/>
        <v>299898.4043620326</v>
      </c>
      <c r="D23" s="12">
        <f t="shared" si="5"/>
        <v>9227.1113186770381</v>
      </c>
      <c r="E23" s="12" t="str">
        <f t="shared" si="0"/>
        <v/>
      </c>
      <c r="F23" s="45" t="str">
        <f t="shared" si="3"/>
        <v/>
      </c>
      <c r="G23" s="17" t="str">
        <f t="shared" si="4"/>
        <v/>
      </c>
    </row>
    <row r="24" spans="1:7" x14ac:dyDescent="0.25">
      <c r="A24" s="3">
        <f>Data!B22</f>
        <v>19</v>
      </c>
      <c r="B24" s="41" t="str">
        <f>Data!C22</f>
        <v/>
      </c>
      <c r="C24" s="20" t="str">
        <f t="shared" si="1"/>
        <v/>
      </c>
      <c r="D24" s="12" t="str">
        <f t="shared" si="5"/>
        <v/>
      </c>
      <c r="E24" s="12" t="str">
        <f t="shared" si="0"/>
        <v/>
      </c>
      <c r="F24" s="45" t="str">
        <f t="shared" si="3"/>
        <v/>
      </c>
      <c r="G24" s="17" t="str">
        <f t="shared" si="4"/>
        <v/>
      </c>
    </row>
    <row r="25" spans="1:7" x14ac:dyDescent="0.25">
      <c r="A25" s="3">
        <f>Data!B23</f>
        <v>20</v>
      </c>
      <c r="B25" s="41" t="str">
        <f>Data!C23</f>
        <v/>
      </c>
      <c r="C25" s="20" t="str">
        <f t="shared" si="1"/>
        <v/>
      </c>
      <c r="D25" s="12" t="str">
        <f t="shared" si="5"/>
        <v/>
      </c>
      <c r="E25" s="12" t="str">
        <f t="shared" si="0"/>
        <v/>
      </c>
      <c r="F25" s="45" t="str">
        <f t="shared" si="3"/>
        <v/>
      </c>
      <c r="G25" s="17" t="str">
        <f t="shared" si="4"/>
        <v/>
      </c>
    </row>
    <row r="26" spans="1:7" x14ac:dyDescent="0.25">
      <c r="A26" s="3">
        <f>Data!B24</f>
        <v>21</v>
      </c>
      <c r="B26" s="41" t="str">
        <f>Data!C24</f>
        <v/>
      </c>
      <c r="C26" s="20" t="str">
        <f t="shared" si="1"/>
        <v/>
      </c>
      <c r="D26" s="12" t="str">
        <f t="shared" si="5"/>
        <v/>
      </c>
      <c r="E26" s="12" t="str">
        <f t="shared" si="0"/>
        <v/>
      </c>
      <c r="F26" s="45" t="str">
        <f t="shared" si="3"/>
        <v/>
      </c>
      <c r="G26" s="17" t="str">
        <f t="shared" si="4"/>
        <v/>
      </c>
    </row>
    <row r="27" spans="1:7" x14ac:dyDescent="0.25">
      <c r="A27" s="3">
        <f>Data!B25</f>
        <v>22</v>
      </c>
      <c r="B27" s="41" t="str">
        <f>Data!C25</f>
        <v/>
      </c>
      <c r="C27" s="20" t="str">
        <f t="shared" si="1"/>
        <v/>
      </c>
      <c r="D27" s="12" t="str">
        <f t="shared" si="5"/>
        <v/>
      </c>
      <c r="E27" s="12" t="str">
        <f t="shared" si="0"/>
        <v/>
      </c>
      <c r="F27" s="45" t="str">
        <f t="shared" si="3"/>
        <v/>
      </c>
      <c r="G27" s="17" t="str">
        <f t="shared" si="4"/>
        <v/>
      </c>
    </row>
    <row r="28" spans="1:7" x14ac:dyDescent="0.25">
      <c r="A28" s="3">
        <f>Data!B26</f>
        <v>23</v>
      </c>
      <c r="B28" s="41" t="str">
        <f>Data!C26</f>
        <v/>
      </c>
      <c r="C28" s="20" t="str">
        <f t="shared" si="1"/>
        <v/>
      </c>
      <c r="D28" s="12" t="str">
        <f t="shared" si="5"/>
        <v/>
      </c>
      <c r="E28" s="12" t="str">
        <f t="shared" si="0"/>
        <v/>
      </c>
      <c r="F28" s="45" t="str">
        <f t="shared" si="3"/>
        <v/>
      </c>
      <c r="G28" s="17" t="str">
        <f t="shared" si="4"/>
        <v/>
      </c>
    </row>
    <row r="29" spans="1:7" x14ac:dyDescent="0.25">
      <c r="A29" s="3">
        <f>Data!B27</f>
        <v>24</v>
      </c>
      <c r="B29" s="41" t="str">
        <f>Data!C27</f>
        <v/>
      </c>
      <c r="C29" s="20" t="str">
        <f t="shared" si="1"/>
        <v/>
      </c>
      <c r="D29" s="12" t="str">
        <f t="shared" si="5"/>
        <v/>
      </c>
      <c r="E29" s="12" t="str">
        <f t="shared" si="0"/>
        <v/>
      </c>
      <c r="F29" s="45" t="str">
        <f t="shared" si="3"/>
        <v/>
      </c>
      <c r="G29" s="17" t="str">
        <f t="shared" si="4"/>
        <v/>
      </c>
    </row>
    <row r="30" spans="1:7" x14ac:dyDescent="0.25">
      <c r="A30" s="3">
        <f>Data!B28</f>
        <v>25</v>
      </c>
      <c r="B30" s="41" t="str">
        <f>Data!C28</f>
        <v/>
      </c>
      <c r="C30" s="20" t="str">
        <f t="shared" si="1"/>
        <v/>
      </c>
      <c r="D30" s="12" t="str">
        <f t="shared" si="5"/>
        <v/>
      </c>
      <c r="E30" s="12" t="str">
        <f t="shared" si="0"/>
        <v/>
      </c>
      <c r="F30" s="44" t="str">
        <f t="shared" si="3"/>
        <v/>
      </c>
      <c r="G30" s="17" t="str">
        <f t="shared" si="4"/>
        <v/>
      </c>
    </row>
    <row r="31" spans="1:7" x14ac:dyDescent="0.25">
      <c r="A31" s="3">
        <f>Data!B29</f>
        <v>26</v>
      </c>
      <c r="B31" s="41" t="str">
        <f>Data!C29</f>
        <v/>
      </c>
      <c r="C31" s="20" t="str">
        <f t="shared" si="1"/>
        <v/>
      </c>
      <c r="D31" s="12" t="str">
        <f t="shared" si="5"/>
        <v/>
      </c>
      <c r="E31" s="12" t="str">
        <f t="shared" si="0"/>
        <v/>
      </c>
      <c r="F31" s="44" t="str">
        <f t="shared" si="3"/>
        <v/>
      </c>
      <c r="G31" s="17" t="str">
        <f t="shared" si="4"/>
        <v/>
      </c>
    </row>
    <row r="32" spans="1:7" x14ac:dyDescent="0.25">
      <c r="A32" s="3">
        <f>Data!B30</f>
        <v>27</v>
      </c>
      <c r="B32" s="41" t="str">
        <f>Data!C30</f>
        <v/>
      </c>
      <c r="C32" s="20" t="str">
        <f t="shared" si="1"/>
        <v/>
      </c>
      <c r="D32" s="12" t="str">
        <f t="shared" si="5"/>
        <v/>
      </c>
      <c r="E32" s="12" t="str">
        <f t="shared" si="0"/>
        <v/>
      </c>
      <c r="F32" s="44" t="str">
        <f t="shared" si="3"/>
        <v/>
      </c>
      <c r="G32" s="17" t="str">
        <f t="shared" si="4"/>
        <v/>
      </c>
    </row>
    <row r="33" spans="1:7" x14ac:dyDescent="0.25">
      <c r="A33" s="3">
        <f>Data!B31</f>
        <v>28</v>
      </c>
      <c r="B33" s="41" t="str">
        <f>Data!C31</f>
        <v/>
      </c>
      <c r="C33" s="20" t="str">
        <f t="shared" si="1"/>
        <v/>
      </c>
      <c r="D33" s="12" t="str">
        <f t="shared" si="5"/>
        <v/>
      </c>
      <c r="E33" s="12" t="str">
        <f t="shared" si="0"/>
        <v/>
      </c>
      <c r="F33" s="44" t="str">
        <f t="shared" si="3"/>
        <v/>
      </c>
      <c r="G33" s="17" t="str">
        <f t="shared" si="4"/>
        <v/>
      </c>
    </row>
    <row r="34" spans="1:7" x14ac:dyDescent="0.25">
      <c r="A34" s="3">
        <f>Data!B32</f>
        <v>29</v>
      </c>
      <c r="B34" s="41" t="str">
        <f>Data!C32</f>
        <v/>
      </c>
      <c r="C34" s="20" t="str">
        <f t="shared" si="1"/>
        <v/>
      </c>
      <c r="D34" s="12" t="str">
        <f t="shared" si="5"/>
        <v/>
      </c>
      <c r="E34" s="12" t="str">
        <f t="shared" si="0"/>
        <v/>
      </c>
      <c r="F34" s="44" t="str">
        <f t="shared" si="3"/>
        <v/>
      </c>
      <c r="G34" s="17" t="str">
        <f t="shared" si="4"/>
        <v/>
      </c>
    </row>
    <row r="35" spans="1:7" x14ac:dyDescent="0.25">
      <c r="A35" s="3">
        <f>Data!B33</f>
        <v>30</v>
      </c>
      <c r="B35" s="41" t="str">
        <f>Data!C33</f>
        <v/>
      </c>
      <c r="C35" s="20" t="str">
        <f t="shared" si="1"/>
        <v/>
      </c>
      <c r="D35" s="12" t="str">
        <f t="shared" si="5"/>
        <v/>
      </c>
      <c r="E35" s="12" t="str">
        <f t="shared" si="0"/>
        <v/>
      </c>
      <c r="F35" s="44" t="str">
        <f t="shared" si="3"/>
        <v/>
      </c>
      <c r="G35" s="17" t="str">
        <f t="shared" si="4"/>
        <v/>
      </c>
    </row>
    <row r="36" spans="1:7" x14ac:dyDescent="0.25">
      <c r="A36" s="3">
        <f>Data!B34</f>
        <v>31</v>
      </c>
      <c r="B36" s="41" t="str">
        <f>Data!C34</f>
        <v/>
      </c>
      <c r="C36" s="20" t="str">
        <f t="shared" si="1"/>
        <v/>
      </c>
      <c r="D36" s="12" t="str">
        <f t="shared" si="5"/>
        <v/>
      </c>
      <c r="E36" s="12" t="str">
        <f t="shared" si="0"/>
        <v/>
      </c>
      <c r="F36" s="44" t="str">
        <f t="shared" si="3"/>
        <v/>
      </c>
      <c r="G36" s="17" t="str">
        <f t="shared" si="4"/>
        <v/>
      </c>
    </row>
    <row r="37" spans="1:7" x14ac:dyDescent="0.25">
      <c r="A37" s="3">
        <f>Data!B35</f>
        <v>32</v>
      </c>
      <c r="B37" s="41" t="str">
        <f>Data!C35</f>
        <v/>
      </c>
      <c r="C37" s="20" t="str">
        <f t="shared" si="1"/>
        <v/>
      </c>
      <c r="D37" s="12" t="str">
        <f t="shared" si="5"/>
        <v/>
      </c>
      <c r="E37" s="12" t="str">
        <f t="shared" si="0"/>
        <v/>
      </c>
      <c r="F37" s="44" t="str">
        <f t="shared" si="3"/>
        <v/>
      </c>
      <c r="G37" s="17" t="str">
        <f t="shared" si="4"/>
        <v/>
      </c>
    </row>
    <row r="38" spans="1:7" x14ac:dyDescent="0.25">
      <c r="A38" s="3">
        <f>Data!B36</f>
        <v>33</v>
      </c>
      <c r="B38" s="41" t="str">
        <f>Data!C36</f>
        <v/>
      </c>
      <c r="C38" s="20" t="str">
        <f t="shared" si="1"/>
        <v/>
      </c>
      <c r="D38" s="12" t="str">
        <f t="shared" si="5"/>
        <v/>
      </c>
      <c r="E38" s="12" t="str">
        <f t="shared" si="0"/>
        <v/>
      </c>
      <c r="F38" s="44" t="str">
        <f t="shared" si="3"/>
        <v/>
      </c>
      <c r="G38" s="17" t="str">
        <f t="shared" si="4"/>
        <v/>
      </c>
    </row>
    <row r="39" spans="1:7" x14ac:dyDescent="0.25">
      <c r="A39" s="3">
        <f>Data!B37</f>
        <v>34</v>
      </c>
      <c r="B39" s="41" t="str">
        <f>Data!C37</f>
        <v/>
      </c>
      <c r="C39" s="20" t="str">
        <f t="shared" si="1"/>
        <v/>
      </c>
      <c r="D39" s="12" t="str">
        <f t="shared" si="5"/>
        <v/>
      </c>
      <c r="E39" s="12" t="str">
        <f t="shared" si="0"/>
        <v/>
      </c>
      <c r="F39" s="44" t="str">
        <f t="shared" si="3"/>
        <v/>
      </c>
      <c r="G39" s="17" t="str">
        <f t="shared" si="4"/>
        <v/>
      </c>
    </row>
    <row r="40" spans="1:7" x14ac:dyDescent="0.25">
      <c r="A40" s="3">
        <f>Data!B38</f>
        <v>35</v>
      </c>
      <c r="B40" s="41" t="str">
        <f>Data!C38</f>
        <v/>
      </c>
      <c r="C40" s="20" t="str">
        <f t="shared" si="1"/>
        <v/>
      </c>
      <c r="D40" s="12" t="str">
        <f t="shared" si="5"/>
        <v/>
      </c>
      <c r="E40" s="12" t="str">
        <f t="shared" si="0"/>
        <v/>
      </c>
      <c r="F40" s="44" t="str">
        <f t="shared" si="3"/>
        <v/>
      </c>
      <c r="G40" s="17" t="str">
        <f t="shared" si="4"/>
        <v/>
      </c>
    </row>
    <row r="41" spans="1:7" x14ac:dyDescent="0.25">
      <c r="A41" s="3">
        <f>Data!B39</f>
        <v>36</v>
      </c>
      <c r="B41" s="41" t="str">
        <f>Data!C39</f>
        <v/>
      </c>
      <c r="C41" s="20" t="str">
        <f t="shared" si="1"/>
        <v/>
      </c>
      <c r="D41" s="12" t="str">
        <f t="shared" si="5"/>
        <v/>
      </c>
      <c r="E41" s="12" t="str">
        <f t="shared" si="0"/>
        <v/>
      </c>
      <c r="F41" s="44" t="str">
        <f t="shared" si="3"/>
        <v/>
      </c>
      <c r="G41" s="17" t="str">
        <f t="shared" si="4"/>
        <v/>
      </c>
    </row>
    <row r="42" spans="1:7" x14ac:dyDescent="0.25">
      <c r="A42" s="3">
        <f>Data!B40</f>
        <v>37</v>
      </c>
      <c r="B42" s="41" t="str">
        <f>Data!C40</f>
        <v/>
      </c>
      <c r="C42" s="20" t="str">
        <f t="shared" si="1"/>
        <v/>
      </c>
      <c r="D42" s="12" t="str">
        <f t="shared" si="5"/>
        <v/>
      </c>
      <c r="E42" s="12" t="str">
        <f t="shared" si="0"/>
        <v/>
      </c>
      <c r="F42" s="44" t="str">
        <f t="shared" si="3"/>
        <v/>
      </c>
      <c r="G42" s="17" t="str">
        <f t="shared" si="4"/>
        <v/>
      </c>
    </row>
    <row r="43" spans="1:7" x14ac:dyDescent="0.25">
      <c r="A43" s="3">
        <f>Data!B41</f>
        <v>38</v>
      </c>
      <c r="B43" s="41" t="str">
        <f>Data!C41</f>
        <v/>
      </c>
      <c r="C43" s="20" t="str">
        <f t="shared" si="1"/>
        <v/>
      </c>
      <c r="D43" s="12" t="str">
        <f t="shared" si="5"/>
        <v/>
      </c>
      <c r="E43" s="12" t="str">
        <f t="shared" si="0"/>
        <v/>
      </c>
      <c r="F43" s="44" t="str">
        <f t="shared" si="3"/>
        <v/>
      </c>
      <c r="G43" s="17" t="str">
        <f t="shared" si="4"/>
        <v/>
      </c>
    </row>
    <row r="44" spans="1:7" x14ac:dyDescent="0.25">
      <c r="A44" s="3">
        <f>Data!B42</f>
        <v>39</v>
      </c>
      <c r="B44" s="41" t="str">
        <f>Data!C42</f>
        <v/>
      </c>
      <c r="C44" s="20" t="str">
        <f t="shared" si="1"/>
        <v/>
      </c>
      <c r="D44" s="12" t="str">
        <f t="shared" si="5"/>
        <v/>
      </c>
      <c r="E44" s="12" t="str">
        <f t="shared" si="0"/>
        <v/>
      </c>
      <c r="F44" s="44" t="str">
        <f t="shared" si="3"/>
        <v/>
      </c>
      <c r="G44" s="17" t="str">
        <f t="shared" si="4"/>
        <v/>
      </c>
    </row>
    <row r="45" spans="1:7" x14ac:dyDescent="0.25">
      <c r="A45" s="3">
        <f>Data!B43</f>
        <v>40</v>
      </c>
      <c r="B45" s="41" t="str">
        <f>Data!C43</f>
        <v/>
      </c>
      <c r="C45" s="20" t="str">
        <f t="shared" si="1"/>
        <v/>
      </c>
      <c r="D45" s="12" t="str">
        <f t="shared" si="5"/>
        <v/>
      </c>
      <c r="E45" s="12" t="str">
        <f t="shared" si="0"/>
        <v/>
      </c>
      <c r="F45" s="44" t="str">
        <f t="shared" si="3"/>
        <v/>
      </c>
      <c r="G45" s="17" t="str">
        <f t="shared" si="4"/>
        <v/>
      </c>
    </row>
    <row r="46" spans="1:7" x14ac:dyDescent="0.25">
      <c r="A46" s="3">
        <f>Data!B44</f>
        <v>41</v>
      </c>
      <c r="B46" s="41" t="str">
        <f>Data!C44</f>
        <v/>
      </c>
      <c r="C46" s="20" t="str">
        <f t="shared" si="1"/>
        <v/>
      </c>
      <c r="D46" s="12" t="str">
        <f t="shared" si="5"/>
        <v/>
      </c>
      <c r="E46" s="12" t="str">
        <f t="shared" si="0"/>
        <v/>
      </c>
      <c r="F46" s="44" t="str">
        <f t="shared" si="3"/>
        <v/>
      </c>
      <c r="G46" s="17" t="str">
        <f t="shared" si="4"/>
        <v/>
      </c>
    </row>
    <row r="47" spans="1:7" x14ac:dyDescent="0.25">
      <c r="A47" s="3">
        <f>Data!B45</f>
        <v>42</v>
      </c>
      <c r="B47" s="41" t="str">
        <f>Data!C45</f>
        <v/>
      </c>
      <c r="C47" s="20" t="str">
        <f t="shared" si="1"/>
        <v/>
      </c>
      <c r="D47" s="12" t="str">
        <f t="shared" si="5"/>
        <v/>
      </c>
      <c r="E47" s="12" t="str">
        <f t="shared" si="0"/>
        <v/>
      </c>
      <c r="F47" s="44" t="str">
        <f t="shared" si="3"/>
        <v/>
      </c>
      <c r="G47" s="17" t="str">
        <f t="shared" si="4"/>
        <v/>
      </c>
    </row>
    <row r="48" spans="1:7" x14ac:dyDescent="0.25">
      <c r="A48" s="3">
        <f>Data!B46</f>
        <v>43</v>
      </c>
      <c r="B48" s="41" t="str">
        <f>Data!C46</f>
        <v/>
      </c>
      <c r="C48" s="20" t="str">
        <f t="shared" si="1"/>
        <v/>
      </c>
      <c r="D48" s="12" t="str">
        <f t="shared" si="5"/>
        <v/>
      </c>
      <c r="E48" s="12" t="str">
        <f t="shared" si="0"/>
        <v/>
      </c>
      <c r="F48" s="44" t="str">
        <f t="shared" si="3"/>
        <v/>
      </c>
      <c r="G48" s="17" t="str">
        <f t="shared" si="4"/>
        <v/>
      </c>
    </row>
    <row r="49" spans="1:12" x14ac:dyDescent="0.25">
      <c r="A49" s="3">
        <f>Data!B47</f>
        <v>44</v>
      </c>
      <c r="B49" s="41" t="str">
        <f>Data!C47</f>
        <v/>
      </c>
      <c r="C49" s="20" t="str">
        <f t="shared" si="1"/>
        <v/>
      </c>
      <c r="D49" s="12" t="str">
        <f t="shared" si="5"/>
        <v/>
      </c>
      <c r="E49" s="12" t="str">
        <f t="shared" si="0"/>
        <v/>
      </c>
      <c r="F49" s="44" t="str">
        <f t="shared" si="3"/>
        <v/>
      </c>
      <c r="G49" s="17" t="str">
        <f t="shared" si="4"/>
        <v/>
      </c>
    </row>
    <row r="50" spans="1:12" x14ac:dyDescent="0.25">
      <c r="A50" s="3">
        <f>Data!B48</f>
        <v>45</v>
      </c>
      <c r="B50" s="41" t="str">
        <f>Data!C48</f>
        <v/>
      </c>
      <c r="C50" s="20" t="str">
        <f t="shared" si="1"/>
        <v/>
      </c>
      <c r="D50" s="12" t="str">
        <f t="shared" si="5"/>
        <v/>
      </c>
      <c r="E50" s="12" t="str">
        <f t="shared" si="0"/>
        <v/>
      </c>
      <c r="F50" s="44" t="str">
        <f t="shared" si="3"/>
        <v/>
      </c>
      <c r="G50" s="17" t="str">
        <f t="shared" si="4"/>
        <v/>
      </c>
    </row>
    <row r="51" spans="1:12" x14ac:dyDescent="0.25">
      <c r="A51" s="3">
        <f>Data!B49</f>
        <v>46</v>
      </c>
      <c r="B51" s="41" t="str">
        <f>Data!C49</f>
        <v/>
      </c>
      <c r="C51" s="20" t="str">
        <f t="shared" si="1"/>
        <v/>
      </c>
      <c r="D51" s="12" t="str">
        <f t="shared" si="5"/>
        <v/>
      </c>
      <c r="E51" s="12" t="str">
        <f t="shared" si="0"/>
        <v/>
      </c>
      <c r="F51" s="44" t="str">
        <f t="shared" si="3"/>
        <v/>
      </c>
      <c r="G51" s="17" t="str">
        <f t="shared" si="4"/>
        <v/>
      </c>
    </row>
    <row r="52" spans="1:12" x14ac:dyDescent="0.25">
      <c r="A52" s="3">
        <f>Data!B50</f>
        <v>47</v>
      </c>
      <c r="B52" s="41" t="str">
        <f>Data!C50</f>
        <v/>
      </c>
      <c r="C52" s="20" t="str">
        <f t="shared" si="1"/>
        <v/>
      </c>
      <c r="D52" s="12" t="str">
        <f t="shared" si="5"/>
        <v/>
      </c>
      <c r="E52" s="12" t="str">
        <f t="shared" si="0"/>
        <v/>
      </c>
      <c r="F52" s="44" t="str">
        <f t="shared" si="3"/>
        <v/>
      </c>
      <c r="G52" s="17" t="str">
        <f t="shared" si="4"/>
        <v/>
      </c>
    </row>
    <row r="53" spans="1:12" x14ac:dyDescent="0.25">
      <c r="A53" s="3">
        <f>Data!B51</f>
        <v>48</v>
      </c>
      <c r="B53" s="41" t="str">
        <f>Data!C51</f>
        <v/>
      </c>
      <c r="C53" s="20" t="str">
        <f t="shared" si="1"/>
        <v/>
      </c>
      <c r="D53" s="12" t="str">
        <f t="shared" si="5"/>
        <v/>
      </c>
      <c r="E53" s="12" t="str">
        <f t="shared" si="0"/>
        <v/>
      </c>
      <c r="F53" s="44" t="str">
        <f t="shared" si="3"/>
        <v/>
      </c>
      <c r="G53" s="17" t="str">
        <f t="shared" si="4"/>
        <v/>
      </c>
    </row>
    <row r="54" spans="1:12" x14ac:dyDescent="0.25">
      <c r="A54" s="3">
        <f>Data!B52</f>
        <v>49</v>
      </c>
      <c r="B54" s="41" t="str">
        <f>Data!C52</f>
        <v/>
      </c>
      <c r="C54" s="20" t="str">
        <f t="shared" si="1"/>
        <v/>
      </c>
      <c r="D54" s="12" t="str">
        <f t="shared" si="5"/>
        <v/>
      </c>
      <c r="E54" s="12" t="str">
        <f t="shared" si="0"/>
        <v/>
      </c>
      <c r="F54" s="44" t="str">
        <f t="shared" si="3"/>
        <v/>
      </c>
      <c r="G54" s="17" t="str">
        <f t="shared" si="4"/>
        <v/>
      </c>
    </row>
    <row r="55" spans="1:12" x14ac:dyDescent="0.25">
      <c r="A55" s="3">
        <f>Data!B53</f>
        <v>50</v>
      </c>
      <c r="B55" s="41" t="str">
        <f>Data!C53</f>
        <v/>
      </c>
      <c r="C55" s="20" t="str">
        <f t="shared" si="1"/>
        <v/>
      </c>
      <c r="D55" s="12" t="str">
        <f t="shared" si="5"/>
        <v/>
      </c>
      <c r="E55" s="12" t="str">
        <f t="shared" si="0"/>
        <v/>
      </c>
      <c r="F55" s="44" t="str">
        <f t="shared" si="3"/>
        <v/>
      </c>
      <c r="G55" s="17" t="str">
        <f t="shared" si="4"/>
        <v/>
      </c>
    </row>
    <row r="56" spans="1:12" x14ac:dyDescent="0.25">
      <c r="A56" s="3">
        <f>Data!B54</f>
        <v>51</v>
      </c>
      <c r="B56" s="41" t="str">
        <f>Data!C54</f>
        <v/>
      </c>
      <c r="C56" s="20" t="str">
        <f t="shared" si="1"/>
        <v/>
      </c>
      <c r="D56" s="12" t="str">
        <f t="shared" si="5"/>
        <v/>
      </c>
      <c r="E56" s="12" t="str">
        <f t="shared" si="0"/>
        <v/>
      </c>
      <c r="F56" s="44" t="str">
        <f t="shared" si="3"/>
        <v/>
      </c>
      <c r="G56" s="17" t="str">
        <f t="shared" si="4"/>
        <v/>
      </c>
    </row>
    <row r="57" spans="1:12" x14ac:dyDescent="0.25">
      <c r="A57" s="3">
        <f>Data!B55</f>
        <v>52</v>
      </c>
      <c r="B57" s="41" t="str">
        <f>Data!C55</f>
        <v/>
      </c>
      <c r="C57" s="20" t="str">
        <f t="shared" si="1"/>
        <v/>
      </c>
      <c r="D57" s="12" t="str">
        <f t="shared" si="5"/>
        <v/>
      </c>
      <c r="E57" s="12" t="str">
        <f t="shared" si="0"/>
        <v/>
      </c>
      <c r="F57" s="44" t="str">
        <f t="shared" si="3"/>
        <v/>
      </c>
      <c r="G57" s="17" t="str">
        <f t="shared" si="4"/>
        <v/>
      </c>
    </row>
    <row r="58" spans="1:12" x14ac:dyDescent="0.25">
      <c r="A58" s="3">
        <f>Data!B56</f>
        <v>53</v>
      </c>
      <c r="B58" s="41" t="str">
        <f>Data!C56</f>
        <v/>
      </c>
      <c r="C58" s="20" t="str">
        <f t="shared" si="1"/>
        <v/>
      </c>
      <c r="D58" s="12" t="str">
        <f t="shared" si="5"/>
        <v/>
      </c>
      <c r="E58" s="12" t="str">
        <f t="shared" si="0"/>
        <v/>
      </c>
      <c r="F58" s="44" t="str">
        <f t="shared" si="3"/>
        <v/>
      </c>
      <c r="G58" s="17" t="str">
        <f t="shared" si="4"/>
        <v/>
      </c>
    </row>
    <row r="59" spans="1:12" x14ac:dyDescent="0.25">
      <c r="A59" s="3">
        <f>Data!B57</f>
        <v>54</v>
      </c>
      <c r="B59" s="41" t="str">
        <f>Data!C57</f>
        <v/>
      </c>
      <c r="C59" s="20" t="str">
        <f t="shared" si="1"/>
        <v/>
      </c>
      <c r="D59" s="12" t="str">
        <f t="shared" si="5"/>
        <v/>
      </c>
      <c r="E59" s="12" t="str">
        <f t="shared" si="0"/>
        <v/>
      </c>
      <c r="F59" s="44" t="str">
        <f t="shared" si="3"/>
        <v/>
      </c>
      <c r="G59" s="17" t="str">
        <f t="shared" si="4"/>
        <v/>
      </c>
      <c r="J59" s="13"/>
      <c r="K59" s="13"/>
    </row>
    <row r="60" spans="1:12" x14ac:dyDescent="0.25">
      <c r="B60" s="7" t="str">
        <f>Data!C58</f>
        <v/>
      </c>
      <c r="C60" s="20" t="str">
        <f t="shared" si="1"/>
        <v/>
      </c>
      <c r="D60" s="42" t="str">
        <f t="shared" si="5"/>
        <v/>
      </c>
      <c r="E60" s="12" t="str">
        <f t="shared" si="0"/>
        <v/>
      </c>
      <c r="F60" s="8"/>
      <c r="J60" s="13"/>
      <c r="K60" s="13"/>
      <c r="L60" s="13"/>
    </row>
    <row r="61" spans="1:12" x14ac:dyDescent="0.25">
      <c r="L61" s="13"/>
    </row>
  </sheetData>
  <dataConsolidate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Equations</vt:lpstr>
      <vt:lpstr>Data</vt:lpstr>
      <vt:lpstr>Select_Data</vt:lpstr>
      <vt:lpstr>MA_Model</vt:lpstr>
      <vt:lpstr>SES_Model_Eq1</vt:lpstr>
      <vt:lpstr>SES_Model_Eq2</vt:lpstr>
      <vt:lpstr>Holt_Model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Miguel Hidalgo-PMP-MBA</dc:creator>
  <cp:lastModifiedBy>miguehida</cp:lastModifiedBy>
  <dcterms:created xsi:type="dcterms:W3CDTF">2018-05-26T17:28:57Z</dcterms:created>
  <dcterms:modified xsi:type="dcterms:W3CDTF">2018-06-29T21:49:09Z</dcterms:modified>
</cp:coreProperties>
</file>